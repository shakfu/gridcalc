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sheetData>
    <row r="1">
      <c r="A1" t="n">
        <v>5</v>
      </c>
      <c r="B1" t="n">
        <v>1</v>
      </c>
      <c r="C1" t="n">
        <v>10</v>
      </c>
      <c r="D1" t="inlineStr">
        <is>
          <t>a</t>
        </is>
      </c>
      <c r="F1" t="inlineStr">
        <is>
          <t>Name</t>
        </is>
      </c>
      <c r="G1" t="inlineStr">
        <is>
          <t>Val</t>
        </is>
      </c>
      <c r="H1" t="inlineStr">
        <is>
          <t>Name</t>
        </is>
      </c>
      <c r="I1" t="inlineStr">
        <is>
          <t>id</t>
        </is>
      </c>
      <c r="J1" t="inlineStr">
        <is>
          <t>formula</t>
        </is>
      </c>
      <c r="K1" t="inlineStr">
        <is>
          <t>Excel</t>
        </is>
      </c>
      <c r="L1" t="inlineStr">
        <is>
          <t>gridcalc</t>
        </is>
      </c>
      <c r="M1" t="inlineStr">
        <is>
          <t>match</t>
        </is>
      </c>
      <c r="N1" t="inlineStr">
        <is>
          <t>in doubt</t>
        </is>
      </c>
    </row>
    <row r="2">
      <c r="B2" t="n">
        <v>2</v>
      </c>
      <c r="C2" t="n">
        <v>20</v>
      </c>
      <c r="D2" t="inlineStr">
        <is>
          <t>b</t>
        </is>
      </c>
      <c r="F2" t="inlineStr">
        <is>
          <t>x</t>
        </is>
      </c>
      <c r="G2" t="n">
        <v>1</v>
      </c>
      <c r="H2" t="inlineStr">
        <is>
          <t>x</t>
        </is>
      </c>
      <c r="I2" t="inlineStr">
        <is>
          <t>setup</t>
        </is>
      </c>
      <c r="J2" t="inlineStr">
        <is>
          <t>=AND(ISTEXT(B3),ISBLANK(A2),ISNA(G3))</t>
        </is>
      </c>
      <c r="K2">
        <f t="array" ref="K2">AND(ISTEXT(B3),ISBLANK(A2),ISNA(G3))</f>
        <v/>
      </c>
      <c r="L2" t="b">
        <v>1</v>
      </c>
      <c r="M2">
        <f>IFERROR(K2=L2,IFERROR(ERROR.TYPE(K2)=ERROR.TYPE(L2),FALSE))</f>
        <v/>
      </c>
      <c r="N2" t="inlineStr">
        <is>
          <t>TRUE means the inputs pasted as intended</t>
        </is>
      </c>
    </row>
    <row r="3">
      <c r="A3" t="n">
        <v>7</v>
      </c>
      <c r="B3" t="inlineStr">
        <is>
          <t>3</t>
        </is>
      </c>
      <c r="C3" t="n">
        <v>30</v>
      </c>
      <c r="D3" t="inlineStr">
        <is>
          <t>a</t>
        </is>
      </c>
      <c r="F3" t="inlineStr">
        <is>
          <t>y</t>
        </is>
      </c>
      <c r="G3">
        <f>NA()</f>
        <v/>
      </c>
      <c r="I3" t="inlineStr">
        <is>
          <t>pow-1</t>
        </is>
      </c>
      <c r="J3" t="inlineStr">
        <is>
          <t>=2^3^2</t>
        </is>
      </c>
      <c r="K3">
        <f t="array" ref="K3">2^3^2</f>
        <v/>
      </c>
      <c r="L3" t="n">
        <v>512</v>
      </c>
      <c r="M3">
        <f>IFERROR(K3=L3,IFERROR(ERROR.TYPE(K3)=ERROR.TYPE(L3),FALSE))</f>
        <v/>
      </c>
      <c r="N3" t="inlineStr">
        <is>
          <t>gridcalc is right-associative (512); Excel documents left to right (64)</t>
        </is>
      </c>
    </row>
    <row r="4">
      <c r="A4" t="n">
        <v>-2.5</v>
      </c>
      <c r="B4" t="inlineStr">
        <is>
          <t>a</t>
        </is>
      </c>
      <c r="C4" t="n">
        <v>40</v>
      </c>
      <c r="D4" t="inlineStr">
        <is>
          <t>c</t>
        </is>
      </c>
      <c r="F4" t="inlineStr">
        <is>
          <t>x</t>
        </is>
      </c>
      <c r="G4" t="n">
        <v>3</v>
      </c>
      <c r="I4" t="inlineStr">
        <is>
          <t>pow-2</t>
        </is>
      </c>
      <c r="J4" t="inlineStr">
        <is>
          <t>=-2^2</t>
        </is>
      </c>
      <c r="K4">
        <f t="array" ref="K4">-2^2</f>
        <v/>
      </c>
      <c r="L4" t="n">
        <v>4</v>
      </c>
      <c r="M4">
        <f>IFERROR(K4=L4,IFERROR(ERROR.TYPE(K4)=ERROR.TYPE(L4),FALSE))</f>
        <v/>
      </c>
      <c r="N4" t="inlineStr">
        <is>
          <t>negation binds tighter than ^ in Excel (4)</t>
        </is>
      </c>
    </row>
    <row r="5">
      <c r="I5" t="inlineStr">
        <is>
          <t>pow-3</t>
        </is>
      </c>
      <c r="J5" t="inlineStr">
        <is>
          <t>=-2^0.5</t>
        </is>
      </c>
      <c r="K5">
        <f t="array" ref="K5">-2^0.5</f>
        <v/>
      </c>
      <c r="L5" t="e">
        <v>#NUM!</v>
      </c>
      <c r="M5">
        <f>IFERROR(K5=L5,IFERROR(ERROR.TYPE(K5)=ERROR.TYPE(L5),FALSE))</f>
        <v/>
      </c>
      <c r="N5" t="inlineStr">
        <is>
          <t>(-2)^0.5 in Excel: #NUM!</t>
        </is>
      </c>
    </row>
    <row r="6">
      <c r="I6" t="inlineStr">
        <is>
          <t>text-1</t>
        </is>
      </c>
      <c r="J6" t="inlineStr">
        <is>
          <t>=0.00001&amp;""</t>
        </is>
      </c>
      <c r="K6">
        <f t="array" ref="K6">0.00001&amp;""</f>
        <v/>
      </c>
      <c r="L6" t="inlineStr">
        <is>
          <t>1e-05</t>
        </is>
      </c>
      <c r="M6">
        <f>IFERROR(K6=L6,IFERROR(ERROR.TYPE(K6)=ERROR.TYPE(L6),FALSE))</f>
        <v/>
      </c>
      <c r="N6" t="inlineStr">
        <is>
          <t>gridcalc formats with %g</t>
        </is>
      </c>
    </row>
    <row r="7">
      <c r="I7" t="inlineStr">
        <is>
          <t>text-2</t>
        </is>
      </c>
      <c r="J7" t="inlineStr">
        <is>
          <t>=1E-10&amp;""</t>
        </is>
      </c>
      <c r="K7">
        <f t="array" ref="K7">1E-10&amp;""</f>
        <v/>
      </c>
      <c r="L7" t="inlineStr">
        <is>
          <t>1e-10</t>
        </is>
      </c>
      <c r="M7">
        <f>IFERROR(K7=L7,IFERROR(ERROR.TYPE(K7)=ERROR.TYPE(L7),FALSE))</f>
        <v/>
      </c>
      <c r="N7" t="inlineStr"/>
    </row>
    <row r="8">
      <c r="I8" t="inlineStr">
        <is>
          <t>text-3</t>
        </is>
      </c>
      <c r="J8" t="inlineStr">
        <is>
          <t>=-0.0000123&amp;""</t>
        </is>
      </c>
      <c r="K8">
        <f t="array" ref="K8">-0.0000123&amp;""</f>
        <v/>
      </c>
      <c r="L8" t="inlineStr">
        <is>
          <t>-1.23e-05</t>
        </is>
      </c>
      <c r="M8">
        <f>IFERROR(K8=L8,IFERROR(ERROR.TYPE(K8)=ERROR.TYPE(L8),FALSE))</f>
        <v/>
      </c>
      <c r="N8" t="inlineStr"/>
    </row>
    <row r="9">
      <c r="I9" t="inlineStr">
        <is>
          <t>text-4</t>
        </is>
      </c>
      <c r="J9" t="inlineStr">
        <is>
          <t>=1/3&amp;""</t>
        </is>
      </c>
      <c r="K9">
        <f t="array" ref="K9">1/3&amp;""</f>
        <v/>
      </c>
      <c r="L9" t="inlineStr">
        <is>
          <t>0.333333333333333</t>
        </is>
      </c>
      <c r="M9">
        <f>IFERROR(K9=L9,IFERROR(ERROR.TYPE(K9)=ERROR.TYPE(L9),FALSE))</f>
        <v/>
      </c>
      <c r="N9" t="inlineStr">
        <is>
          <t>15 significant digits</t>
        </is>
      </c>
    </row>
    <row r="10">
      <c r="I10" t="inlineStr">
        <is>
          <t>text-5</t>
        </is>
      </c>
      <c r="J10" t="inlineStr">
        <is>
          <t>=(0.1+0.2)&amp;""</t>
        </is>
      </c>
      <c r="K10">
        <f t="array" ref="K10">(0.1+0.2)&amp;""</f>
        <v/>
      </c>
      <c r="L10" t="inlineStr">
        <is>
          <t>0.3</t>
        </is>
      </c>
      <c r="M10">
        <f>IFERROR(K10=L10,IFERROR(ERROR.TYPE(K10)=ERROR.TYPE(L10),FALSE))</f>
        <v/>
      </c>
      <c r="N10" t="inlineStr"/>
    </row>
    <row r="11">
      <c r="I11" t="inlineStr">
        <is>
          <t>text-6</t>
        </is>
      </c>
      <c r="J11" t="inlineStr">
        <is>
          <t>=123456789012&amp;""</t>
        </is>
      </c>
      <c r="K11">
        <f t="array" ref="K11">123456789012&amp;""</f>
        <v/>
      </c>
      <c r="L11" t="inlineStr">
        <is>
          <t>123456789012</t>
        </is>
      </c>
      <c r="M11">
        <f>IFERROR(K11=L11,IFERROR(ERROR.TYPE(K11)=ERROR.TYPE(L11),FALSE))</f>
        <v/>
      </c>
      <c r="N11" t="inlineStr"/>
    </row>
    <row r="12">
      <c r="I12" t="inlineStr">
        <is>
          <t>text-7</t>
        </is>
      </c>
      <c r="J12" t="inlineStr">
        <is>
          <t>=12345678901234567&amp;""</t>
        </is>
      </c>
      <c r="K12">
        <f t="array" ref="K12">12345678901234567&amp;""</f>
        <v/>
      </c>
      <c r="L12" t="inlineStr">
        <is>
          <t>1.23456789012346e+16</t>
        </is>
      </c>
      <c r="M12">
        <f>IFERROR(K12=L12,IFERROR(ERROR.TYPE(K12)=ERROR.TYPE(L12),FALSE))</f>
        <v/>
      </c>
      <c r="N12" t="inlineStr">
        <is>
          <t>past 15 digits</t>
        </is>
      </c>
    </row>
    <row r="13">
      <c r="I13" t="inlineStr">
        <is>
          <t>text-8</t>
        </is>
      </c>
      <c r="J13" t="inlineStr">
        <is>
          <t>=1E+20&amp;""</t>
        </is>
      </c>
      <c r="K13">
        <f t="array" ref="K13">1E+20&amp;""</f>
        <v/>
      </c>
      <c r="L13" t="inlineStr">
        <is>
          <t>1e+20</t>
        </is>
      </c>
      <c r="M13">
        <f>IFERROR(K13=L13,IFERROR(ERROR.TYPE(K13)=ERROR.TYPE(L13),FALSE))</f>
        <v/>
      </c>
      <c r="N13" t="inlineStr"/>
    </row>
    <row r="14">
      <c r="I14" t="inlineStr">
        <is>
          <t>blank-1</t>
        </is>
      </c>
      <c r="J14" t="inlineStr">
        <is>
          <t>=ROUND(2.5,)</t>
        </is>
      </c>
      <c r="K14">
        <f t="array" ref="K14">ROUND(2.5,)</f>
        <v/>
      </c>
      <c r="L14" t="e">
        <v>#VALUE!</v>
      </c>
      <c r="M14">
        <f>IFERROR(K14=L14,IFERROR(ERROR.TYPE(K14)=ERROR.TYPE(L14),FALSE))</f>
        <v/>
      </c>
      <c r="N14" t="inlineStr">
        <is>
          <t>omitted number argument reads as 0</t>
        </is>
      </c>
    </row>
    <row r="15">
      <c r="I15" t="inlineStr">
        <is>
          <t>blank-2</t>
        </is>
      </c>
      <c r="J15" t="inlineStr">
        <is>
          <t>=ROUND(2.5,Z9)</t>
        </is>
      </c>
      <c r="K15">
        <f t="array" ref="K15">ROUND(2.5,Z9)</f>
        <v/>
      </c>
      <c r="L15" t="e">
        <v>#VALUE!</v>
      </c>
      <c r="M15">
        <f>IFERROR(K15=L15,IFERROR(ERROR.TYPE(K15)=ERROR.TYPE(L15),FALSE))</f>
        <v/>
      </c>
      <c r="N15" t="inlineStr">
        <is>
          <t>blank cell reads as 0</t>
        </is>
      </c>
    </row>
    <row r="16">
      <c r="I16" t="inlineStr">
        <is>
          <t>blank-3</t>
        </is>
      </c>
      <c r="J16" t="inlineStr">
        <is>
          <t>=LEFT("abc",)</t>
        </is>
      </c>
      <c r="K16">
        <f t="array" ref="K16">LEFT("abc",)</f>
        <v/>
      </c>
      <c r="L16" t="e">
        <v>#VALUE!</v>
      </c>
      <c r="M16">
        <f>IFERROR(K16=L16,IFERROR(ERROR.TYPE(K16)=ERROR.TYPE(L16),FALSE))</f>
        <v/>
      </c>
      <c r="N16" t="inlineStr">
        <is>
          <t>omitted count reads as 0</t>
        </is>
      </c>
    </row>
    <row r="17">
      <c r="I17" t="inlineStr">
        <is>
          <t>blank-4</t>
        </is>
      </c>
      <c r="J17" t="inlineStr">
        <is>
          <t>=SUBSTITUTE("abc","b",)</t>
        </is>
      </c>
      <c r="K17">
        <f t="array" ref="K17">SUBSTITUTE("abc","b",)</f>
        <v/>
      </c>
      <c r="L17" t="inlineStr">
        <is>
          <t>ac</t>
        </is>
      </c>
      <c r="M17">
        <f>IFERROR(K17=L17,IFERROR(ERROR.TYPE(K17)=ERROR.TYPE(L17),FALSE))</f>
        <v/>
      </c>
      <c r="N17" t="inlineStr">
        <is>
          <t>omitted text reads as empty</t>
        </is>
      </c>
    </row>
    <row r="18">
      <c r="I18" t="inlineStr">
        <is>
          <t>blank-5</t>
        </is>
      </c>
      <c r="J18" t="inlineStr">
        <is>
          <t>=CONCAT("a",,"b")</t>
        </is>
      </c>
      <c r="K18">
        <f t="array" ref="K18">_xlfn.CONCAT("a",,"b")</f>
        <v/>
      </c>
      <c r="L18" t="inlineStr">
        <is>
          <t>ab</t>
        </is>
      </c>
      <c r="M18">
        <f>IFERROR(K18=L18,IFERROR(ERROR.TYPE(K18)=ERROR.TYPE(L18),FALSE))</f>
        <v/>
      </c>
      <c r="N18" t="inlineStr"/>
    </row>
    <row r="19">
      <c r="I19" t="inlineStr">
        <is>
          <t>blank-6</t>
        </is>
      </c>
      <c r="J19" t="inlineStr">
        <is>
          <t>=IF(FALSE,1,)</t>
        </is>
      </c>
      <c r="K19">
        <f t="array" ref="K19">IF(FALSE,1,)</f>
        <v/>
      </c>
      <c r="L19" t="n">
        <v>0</v>
      </c>
      <c r="M19">
        <f>IFERROR(K19=L19,IFERROR(ERROR.TYPE(K19)=ERROR.TYPE(L19),FALSE))</f>
        <v/>
      </c>
      <c r="N19" t="inlineStr"/>
    </row>
    <row r="20">
      <c r="I20" t="inlineStr">
        <is>
          <t>lift-1</t>
        </is>
      </c>
      <c r="J20" t="inlineStr">
        <is>
          <t>=TEXTJOIN(",",FALSE,LEN(A1:A3))</t>
        </is>
      </c>
      <c r="K20">
        <f t="array" ref="K20">_xlfn.TEXTJOIN(",",FALSE,LEN(A1:A3))</f>
        <v/>
      </c>
      <c r="L20" t="inlineStr">
        <is>
          <t>1,0,1</t>
        </is>
      </c>
      <c r="M20">
        <f>IFERROR(K20=L20,IFERROR(ERROR.TYPE(K20)=ERROR.TYPE(L20),FALSE))</f>
        <v/>
      </c>
      <c r="N20" t="inlineStr">
        <is>
          <t>scalar function over a range</t>
        </is>
      </c>
    </row>
    <row r="21">
      <c r="I21" t="inlineStr">
        <is>
          <t>lift-2</t>
        </is>
      </c>
      <c r="J21" t="inlineStr">
        <is>
          <t>=TEXTJOIN(",",FALSE,ROUND(A1:A4,0))</t>
        </is>
      </c>
      <c r="K21">
        <f t="array" ref="K21">_xlfn.TEXTJOIN(",",FALSE,ROUND(A1:A4,0))</f>
        <v/>
      </c>
      <c r="L21" t="e">
        <v>#VALUE!</v>
      </c>
      <c r="M21">
        <f>IFERROR(K21=L21,IFERROR(ERROR.TYPE(K21)=ERROR.TYPE(L21),FALSE))</f>
        <v/>
      </c>
      <c r="N21" t="inlineStr">
        <is>
          <t>ROUND(-2.5,0) rounds away from zero</t>
        </is>
      </c>
    </row>
    <row r="22">
      <c r="I22" t="inlineStr">
        <is>
          <t>lift-3</t>
        </is>
      </c>
      <c r="J22" t="inlineStr">
        <is>
          <t>=TEXTJOIN(",",FALSE,MOD(C1:C4,3))</t>
        </is>
      </c>
      <c r="K22">
        <f t="array" ref="K22">_xlfn.TEXTJOIN(",",FALSE,MOD(C1:C4,3))</f>
        <v/>
      </c>
      <c r="L22" t="inlineStr">
        <is>
          <t>1,2,0,1</t>
        </is>
      </c>
      <c r="M22">
        <f>IFERROR(K22=L22,IFERROR(ERROR.TYPE(K22)=ERROR.TYPE(L22),FALSE))</f>
        <v/>
      </c>
      <c r="N22" t="inlineStr"/>
    </row>
    <row r="23">
      <c r="I23" t="inlineStr">
        <is>
          <t>lift-4</t>
        </is>
      </c>
      <c r="J23" t="inlineStr">
        <is>
          <t>=TEXTJOIN(",",FALSE,UPPER(D1:D4))</t>
        </is>
      </c>
      <c r="K23">
        <f t="array" ref="K23">_xlfn.TEXTJOIN(",",FALSE,UPPER(D1:D4))</f>
        <v/>
      </c>
      <c r="L23" t="inlineStr">
        <is>
          <t>A,B,A,C</t>
        </is>
      </c>
      <c r="M23">
        <f>IFERROR(K23=L23,IFERROR(ERROR.TYPE(K23)=ERROR.TYPE(L23),FALSE))</f>
        <v/>
      </c>
      <c r="N23" t="inlineStr"/>
    </row>
    <row r="24">
      <c r="I24" t="inlineStr">
        <is>
          <t>lift-5</t>
        </is>
      </c>
      <c r="J24" t="inlineStr">
        <is>
          <t>=TEXTJOIN(",",FALSE,TEXT(C1:C3,"0.0"))</t>
        </is>
      </c>
      <c r="K24">
        <f t="array" ref="K24">_xlfn.TEXTJOIN(",",FALSE,TEXT(C1:C3,"0.0"))</f>
        <v/>
      </c>
      <c r="L24" t="inlineStr">
        <is>
          <t>10.0,20.0,30.0</t>
        </is>
      </c>
      <c r="M24">
        <f>IFERROR(K24=L24,IFERROR(ERROR.TYPE(K24)=ERROR.TYPE(L24),FALSE))</f>
        <v/>
      </c>
      <c r="N24" t="inlineStr"/>
    </row>
    <row r="25">
      <c r="I25" t="inlineStr">
        <is>
          <t>lift-6</t>
        </is>
      </c>
      <c r="J25" t="inlineStr">
        <is>
          <t>=SUM(LEN(A1:A3))</t>
        </is>
      </c>
      <c r="K25">
        <f t="array" ref="K25">SUM(LEN(A1:A3))</f>
        <v/>
      </c>
      <c r="L25" t="n">
        <v>2</v>
      </c>
      <c r="M25">
        <f>IFERROR(K25=L25,IFERROR(ERROR.TYPE(K25)=ERROR.TYPE(L25),FALSE))</f>
        <v/>
      </c>
      <c r="N25" t="inlineStr"/>
    </row>
    <row r="26">
      <c r="I26" t="inlineStr">
        <is>
          <t>crit-1</t>
        </is>
      </c>
      <c r="J26" t="inlineStr">
        <is>
          <t>=COUNTIF(B1:B3,3)</t>
        </is>
      </c>
      <c r="K26">
        <f t="array" ref="K26">COUNTIF(B1:B3,3)</f>
        <v/>
      </c>
      <c r="L26" t="n">
        <v>0</v>
      </c>
      <c r="M26">
        <f>IFERROR(K26=L26,IFERROR(ERROR.TYPE(K26)=ERROR.TYPE(L26),FALSE))</f>
        <v/>
      </c>
      <c r="N26" t="inlineStr">
        <is>
          <t>does the text '3 count?</t>
        </is>
      </c>
    </row>
    <row r="27">
      <c r="I27" t="inlineStr">
        <is>
          <t>crit-2</t>
        </is>
      </c>
      <c r="J27" t="inlineStr">
        <is>
          <t>=COUNTIF(B1:B3,"3")</t>
        </is>
      </c>
      <c r="K27">
        <f t="array" ref="K27">COUNTIF(B1:B3,"3")</f>
        <v/>
      </c>
      <c r="L27" t="n">
        <v>0</v>
      </c>
      <c r="M27">
        <f>IFERROR(K27=L27,IFERROR(ERROR.TYPE(K27)=ERROR.TYPE(L27),FALSE))</f>
        <v/>
      </c>
      <c r="N27" t="inlineStr"/>
    </row>
    <row r="28">
      <c r="I28" t="inlineStr">
        <is>
          <t>crit-3</t>
        </is>
      </c>
      <c r="J28" t="inlineStr">
        <is>
          <t>=COUNTIF(B1:B3,"&gt;1")</t>
        </is>
      </c>
      <c r="K28">
        <f t="array" ref="K28">COUNTIF(B1:B3,"&gt;1")</f>
        <v/>
      </c>
      <c r="L28" t="n">
        <v>1</v>
      </c>
      <c r="M28">
        <f>IFERROR(K28=L28,IFERROR(ERROR.TYPE(K28)=ERROR.TYPE(L28),FALSE))</f>
        <v/>
      </c>
      <c r="N28" t="inlineStr"/>
    </row>
    <row r="29">
      <c r="I29" t="inlineStr">
        <is>
          <t>crit-4</t>
        </is>
      </c>
      <c r="J29" t="inlineStr">
        <is>
          <t>=SUMIF(B1:B4,"&gt;0")</t>
        </is>
      </c>
      <c r="K29">
        <f t="array" ref="K29">SUMIF(B1:B4,"&gt;0")</f>
        <v/>
      </c>
      <c r="L29" t="n">
        <v>3</v>
      </c>
      <c r="M29">
        <f>IFERROR(K29=L29,IFERROR(ERROR.TYPE(K29)=ERROR.TYPE(L29),FALSE))</f>
        <v/>
      </c>
      <c r="N29" t="inlineStr"/>
    </row>
    <row r="30">
      <c r="I30" t="inlineStr">
        <is>
          <t>crit-5</t>
        </is>
      </c>
      <c r="J30" t="inlineStr">
        <is>
          <t>=SUMIF(C1:C4,"&gt;15",A1:A2)</t>
        </is>
      </c>
      <c r="K30">
        <f t="array" ref="K30">SUMIF(C1:C4,"&gt;15",A1:A2)</f>
        <v/>
      </c>
      <c r="L30" t="n">
        <v>0</v>
      </c>
      <c r="M30">
        <f>IFERROR(K30=L30,IFERROR(ERROR.TYPE(K30)=ERROR.TYPE(L30),FALSE))</f>
        <v/>
      </c>
      <c r="N30" t="inlineStr">
        <is>
          <t>Excel resizes sum_range from its top-left</t>
        </is>
      </c>
    </row>
    <row r="31">
      <c r="I31" t="inlineStr">
        <is>
          <t>crit-6</t>
        </is>
      </c>
      <c r="J31" t="inlineStr">
        <is>
          <t>=TEXTJOIN(",",FALSE,SUMIF(D1:D4,{"a","b"},C1:C4))</t>
        </is>
      </c>
      <c r="K31">
        <f t="array" ref="K31">_xlfn.TEXTJOIN(",",FALSE,SUMIF(D1:D4,{"a","b"},C1:C4))</f>
        <v/>
      </c>
      <c r="L31" t="inlineStr">
        <is>
          <t>40,20</t>
        </is>
      </c>
      <c r="M31">
        <f>IFERROR(K31=L31,IFERROR(ERROR.TYPE(K31)=ERROR.TYPE(L31),FALSE))</f>
        <v/>
      </c>
      <c r="N31" t="inlineStr">
        <is>
          <t>array criteria</t>
        </is>
      </c>
    </row>
    <row r="32">
      <c r="I32" t="inlineStr">
        <is>
          <t>crit-7</t>
        </is>
      </c>
      <c r="J32" t="inlineStr">
        <is>
          <t>=SUM(COUNTIF(D1:D4,{"a","c"}))</t>
        </is>
      </c>
      <c r="K32">
        <f t="array" ref="K32">SUM(COUNTIF(D1:D4,{"a","c"}))</f>
        <v/>
      </c>
      <c r="L32" t="n">
        <v>3</v>
      </c>
      <c r="M32">
        <f>IFERROR(K32=L32,IFERROR(ERROR.TYPE(K32)=ERROR.TYPE(L32),FALSE))</f>
        <v/>
      </c>
      <c r="N32" t="inlineStr"/>
    </row>
    <row r="33">
      <c r="I33" t="inlineStr">
        <is>
          <t>arr-1</t>
        </is>
      </c>
      <c r="J33" t="inlineStr">
        <is>
          <t>=ROWS(FILTER(C1:C4,C1:C4&gt;15))</t>
        </is>
      </c>
      <c r="K33">
        <f t="array" ref="K33">ROWS(_xlfn._xlws.FILTER(C1:C4,C1:C4&gt;15))</f>
        <v/>
      </c>
      <c r="L33" t="e">
        <v>#VALUE!</v>
      </c>
      <c r="M33">
        <f>IFERROR(K33=L33,IFERROR(ERROR.TYPE(K33)=ERROR.TYPE(L33),FALSE))</f>
        <v/>
      </c>
      <c r="N33" t="inlineStr"/>
    </row>
    <row r="34">
      <c r="I34" t="inlineStr">
        <is>
          <t>arr-2</t>
        </is>
      </c>
      <c r="J34" t="inlineStr">
        <is>
          <t>=TEXTJOIN(",",FALSE,FREQUENCY({1,2,3,4,5},{4,2}))</t>
        </is>
      </c>
      <c r="K34">
        <f t="array" ref="K34">_xlfn.TEXTJOIN(",",FALSE,FREQUENCY({1,2,3,4,5},{4,2}))</f>
        <v/>
      </c>
      <c r="L34" t="inlineStr">
        <is>
          <t>4,0,1</t>
        </is>
      </c>
      <c r="M34">
        <f>IFERROR(K34=L34,IFERROR(ERROR.TYPE(K34)=ERROR.TYPE(L34),FALSE))</f>
        <v/>
      </c>
      <c r="N34" t="inlineStr">
        <is>
          <t>unsorted bins</t>
        </is>
      </c>
    </row>
    <row r="35">
      <c r="I35" t="inlineStr">
        <is>
          <t>arr-3</t>
        </is>
      </c>
      <c r="J35" t="inlineStr">
        <is>
          <t>=TEXTJOIN(",",FALSE,ISFORMULA(G1:G3))</t>
        </is>
      </c>
      <c r="K35">
        <f t="array" ref="K35">_xlfn.TEXTJOIN(",",FALSE,_xlfn.ISFORMULA(G1:G3))</f>
        <v/>
      </c>
      <c r="L35" t="e">
        <v>#VALUE!</v>
      </c>
      <c r="M35">
        <f>IFERROR(K35=L35,IFERROR(ERROR.TYPE(K35)=ERROR.TYPE(L35),FALSE))</f>
        <v/>
      </c>
      <c r="N35" t="inlineStr">
        <is>
          <t>ISFORMULA over a range</t>
        </is>
      </c>
    </row>
    <row r="36">
      <c r="I36" t="inlineStr">
        <is>
          <t>db-1</t>
        </is>
      </c>
      <c r="J36" t="inlineStr">
        <is>
          <t>=DSUM(F1:G4,"Val",H1:H2)</t>
        </is>
      </c>
      <c r="K36">
        <f t="array" ref="K36">DSUM(F1:G4,"Val",H1:H2)</f>
        <v/>
      </c>
      <c r="L36" t="e">
        <v>#N/A</v>
      </c>
      <c r="M36">
        <f>IFERROR(K36=L36,IFERROR(ERROR.TYPE(K36)=ERROR.TYPE(L36),FALSE))</f>
        <v/>
      </c>
      <c r="N36" t="inlineStr">
        <is>
          <t>an error in an unmatched row</t>
        </is>
      </c>
    </row>
    <row r="37">
      <c r="I37" t="inlineStr">
        <is>
          <t>db-2</t>
        </is>
      </c>
      <c r="J37" t="inlineStr">
        <is>
          <t>=DCOUNT(F1:G4,"Val",H1:H2)</t>
        </is>
      </c>
      <c r="K37">
        <f t="array" ref="K37">DCOUNT(F1:G4,"Val",H1:H2)</f>
        <v/>
      </c>
      <c r="L37" t="e">
        <v>#N/A</v>
      </c>
      <c r="M37">
        <f>IFERROR(K37=L37,IFERROR(ERROR.TYPE(K37)=ERROR.TYPE(L37),FALSE))</f>
        <v/>
      </c>
      <c r="N37" t="inlineStr"/>
    </row>
    <row r="38">
      <c r="I38" t="inlineStr">
        <is>
          <t>date-1</t>
        </is>
      </c>
      <c r="J38" t="inlineStr">
        <is>
          <t>=EOMONTH(DATE(1900,1,15),1)</t>
        </is>
      </c>
      <c r="K38">
        <f t="array" ref="K38">EOMONTH(DATE(1900,1,15),1)</f>
        <v/>
      </c>
      <c r="L38" t="n">
        <v>59</v>
      </c>
      <c r="M38">
        <f>IFERROR(K38=L38,IFERROR(ERROR.TYPE(K38)=ERROR.TYPE(L38),FALSE))</f>
        <v/>
      </c>
      <c r="N38" t="inlineStr">
        <is>
          <t>phantom 1900-02-29</t>
        </is>
      </c>
    </row>
    <row r="39">
      <c r="I39" t="inlineStr">
        <is>
          <t>date-2</t>
        </is>
      </c>
      <c r="J39" t="inlineStr">
        <is>
          <t>=DAYS(10.9,1.1)</t>
        </is>
      </c>
      <c r="K39">
        <f t="array" ref="K39">_xlfn.DAYS(10.9,1.1)</f>
        <v/>
      </c>
      <c r="L39" t="n">
        <v>9</v>
      </c>
      <c r="M39">
        <f>IFERROR(K39=L39,IFERROR(ERROR.TYPE(K39)=ERROR.TYPE(L39),FALSE))</f>
        <v/>
      </c>
      <c r="N39" t="inlineStr">
        <is>
          <t>fractional serials</t>
        </is>
      </c>
    </row>
    <row r="40">
      <c r="I40" t="inlineStr">
        <is>
          <t>yf-1</t>
        </is>
      </c>
      <c r="J40" t="inlineStr">
        <is>
          <t>=YEARFRAC(DATE(2023,12,31),DATE(2024,3,1),0)</t>
        </is>
      </c>
      <c r="K40">
        <f t="array" ref="K40">YEARFRAC(DATE(2023,12,31),DATE(2024,3,1),0)</f>
        <v/>
      </c>
      <c r="L40" t="n">
        <v>0.1694444444444445</v>
      </c>
      <c r="M40">
        <f>IFERROR(K40=L40,IFERROR(ERROR.TYPE(K40)=ERROR.TYPE(L40),FALSE))</f>
        <v/>
      </c>
      <c r="N40" t="inlineStr"/>
    </row>
    <row r="41">
      <c r="I41" t="inlineStr">
        <is>
          <t>yf-2</t>
        </is>
      </c>
      <c r="J41" t="inlineStr">
        <is>
          <t>=YEARFRAC(DATE(2023,12,31),DATE(2024,3,1),1)</t>
        </is>
      </c>
      <c r="K41">
        <f t="array" ref="K41">YEARFRAC(DATE(2023,12,31),DATE(2024,3,1),1)</f>
        <v/>
      </c>
      <c r="L41" t="n">
        <v>0.1668946648426813</v>
      </c>
      <c r="M41">
        <f>IFERROR(K41=L41,IFERROR(ERROR.TYPE(K41)=ERROR.TYPE(L41),FALSE))</f>
        <v/>
      </c>
      <c r="N41" t="inlineStr"/>
    </row>
    <row r="42">
      <c r="I42" t="inlineStr">
        <is>
          <t>yf-3</t>
        </is>
      </c>
      <c r="J42" t="inlineStr">
        <is>
          <t>=YEARFRAC(DATE(2023,6,15),DATE(2025,2,28),0)</t>
        </is>
      </c>
      <c r="K42">
        <f t="array" ref="K42">YEARFRAC(DATE(2023,6,15),DATE(2025,2,28),0)</f>
        <v/>
      </c>
      <c r="L42" t="n">
        <v>1.702777777777778</v>
      </c>
      <c r="M42">
        <f>IFERROR(K42=L42,IFERROR(ERROR.TYPE(K42)=ERROR.TYPE(L42),FALSE))</f>
        <v/>
      </c>
      <c r="N42" t="inlineStr"/>
    </row>
    <row r="43">
      <c r="I43" t="inlineStr">
        <is>
          <t>yf-4</t>
        </is>
      </c>
      <c r="J43" t="inlineStr">
        <is>
          <t>=YEARFRAC(DATE(2023,6,15),DATE(2025,2,28),1)</t>
        </is>
      </c>
      <c r="K43">
        <f t="array" ref="K43">YEARFRAC(DATE(2023,6,15),DATE(2025,2,28),1)</f>
        <v/>
      </c>
      <c r="L43" t="n">
        <v>1.708029197080292</v>
      </c>
      <c r="M43">
        <f>IFERROR(K43=L43,IFERROR(ERROR.TYPE(K43)=ERROR.TYPE(L43),FALSE))</f>
        <v/>
      </c>
      <c r="N43" t="inlineStr"/>
    </row>
    <row r="44">
      <c r="I44" t="inlineStr">
        <is>
          <t>yf-5</t>
        </is>
      </c>
      <c r="J44" t="inlineStr">
        <is>
          <t>=YEARFRAC(DATE(2024,2,29),DATE(2025,2,28),0)</t>
        </is>
      </c>
      <c r="K44">
        <f t="array" ref="K44">YEARFRAC(DATE(2024,2,29),DATE(2025,2,28),0)</f>
        <v/>
      </c>
      <c r="L44" t="n">
        <v>0.9972222222222222</v>
      </c>
      <c r="M44">
        <f>IFERROR(K44=L44,IFERROR(ERROR.TYPE(K44)=ERROR.TYPE(L44),FALSE))</f>
        <v/>
      </c>
      <c r="N44" t="inlineStr"/>
    </row>
    <row r="45">
      <c r="I45" t="inlineStr">
        <is>
          <t>yf-6</t>
        </is>
      </c>
      <c r="J45" t="inlineStr">
        <is>
          <t>=YEARFRAC(DATE(2024,2,29),DATE(2025,2,28),1)</t>
        </is>
      </c>
      <c r="K45">
        <f t="array" ref="K45">YEARFRAC(DATE(2024,2,29),DATE(2025,2,28),1)</f>
        <v/>
      </c>
      <c r="L45" t="n">
        <v>0.9986320109439124</v>
      </c>
      <c r="M45">
        <f>IFERROR(K45=L45,IFERROR(ERROR.TYPE(K45)=ERROR.TYPE(L45),FALSE))</f>
        <v/>
      </c>
      <c r="N45" t="inlineStr"/>
    </row>
    <row r="46">
      <c r="I46" t="inlineStr">
        <is>
          <t>yf-7</t>
        </is>
      </c>
      <c r="J46" t="inlineStr">
        <is>
          <t>=YEARFRAC(DATE(2023,2,28),DATE(2024,2,29),0)</t>
        </is>
      </c>
      <c r="K46">
        <f t="array" ref="K46">YEARFRAC(DATE(2023,2,28),DATE(2024,2,29),0)</f>
        <v/>
      </c>
      <c r="L46" t="n">
        <v>1.002777777777778</v>
      </c>
      <c r="M46">
        <f>IFERROR(K46=L46,IFERROR(ERROR.TYPE(K46)=ERROR.TYPE(L46),FALSE))</f>
        <v/>
      </c>
      <c r="N46" t="inlineStr"/>
    </row>
    <row r="47">
      <c r="I47" t="inlineStr">
        <is>
          <t>yf-8</t>
        </is>
      </c>
      <c r="J47" t="inlineStr">
        <is>
          <t>=YEARFRAC(DATE(2023,2,28),DATE(2024,2,29),1)</t>
        </is>
      </c>
      <c r="K47">
        <f t="array" ref="K47">YEARFRAC(DATE(2023,2,28),DATE(2024,2,29),1)</f>
        <v/>
      </c>
      <c r="L47" t="n">
        <v>1.001367989056088</v>
      </c>
      <c r="M47">
        <f>IFERROR(K47=L47,IFERROR(ERROR.TYPE(K47)=ERROR.TYPE(L47),FALSE))</f>
        <v/>
      </c>
      <c r="N47" t="inlineStr"/>
    </row>
    <row r="48">
      <c r="I48" t="inlineStr">
        <is>
          <t>misc-1</t>
        </is>
      </c>
      <c r="J48" t="inlineStr">
        <is>
          <t>=MOD(3,0.1)</t>
        </is>
      </c>
      <c r="K48">
        <f t="array" ref="K48">MOD(3,0.1)</f>
        <v/>
      </c>
      <c r="L48" t="n">
        <v>0.09999999999999984</v>
      </c>
      <c r="M48">
        <f>IFERROR(K48=L48,IFERROR(ERROR.TYPE(K48)=ERROR.TYPE(L48),FALSE))</f>
        <v/>
      </c>
      <c r="N48" t="inlineStr">
        <is>
          <t>float residue</t>
        </is>
      </c>
    </row>
    <row r="49">
      <c r="I49" t="inlineStr">
        <is>
          <t>misc-2</t>
        </is>
      </c>
      <c r="J49" t="inlineStr">
        <is>
          <t>=IMSQRT("-4")</t>
        </is>
      </c>
      <c r="K49">
        <f t="array" ref="K49">IMSQRT("-4")</f>
        <v/>
      </c>
      <c r="L49" t="inlineStr">
        <is>
          <t>2i</t>
        </is>
      </c>
      <c r="M49">
        <f>IFERROR(K49=L49,IFERROR(ERROR.TYPE(K49)=ERROR.TYPE(L49),FALSE))</f>
        <v/>
      </c>
      <c r="N49" t="inlineStr"/>
    </row>
    <row r="50">
      <c r="I50" t="inlineStr">
        <is>
          <t>misc-3</t>
        </is>
      </c>
      <c r="J50" t="inlineStr">
        <is>
          <t>=OR("a",TRUE)</t>
        </is>
      </c>
      <c r="K50">
        <f t="array" ref="K50">OR("a",TRUE)</f>
        <v/>
      </c>
      <c r="L50" t="e">
        <v>#VALUE!</v>
      </c>
      <c r="M50">
        <f>IFERROR(K50=L50,IFERROR(ERROR.TYPE(K50)=ERROR.TYPE(L50),FALSE))</f>
        <v/>
      </c>
      <c r="N50" t="inlineStr">
        <is>
          <t>text literal in OR</t>
        </is>
      </c>
    </row>
    <row r="51">
      <c r="I51" t="inlineStr">
        <is>
          <t>misc-4</t>
        </is>
      </c>
      <c r="J51" t="inlineStr">
        <is>
          <t>=XOR(TRUE,"a")</t>
        </is>
      </c>
      <c r="K51">
        <f t="array" ref="K51">_xlfn.XOR(TRUE,"a")</f>
        <v/>
      </c>
      <c r="L51" t="e">
        <v>#VALUE!</v>
      </c>
      <c r="M51">
        <f>IFERROR(K51=L51,IFERROR(ERROR.TYPE(K51)=ERROR.TYPE(L51),FALSE))</f>
        <v/>
      </c>
      <c r="N51" t="inlineStr"/>
    </row>
    <row r="52">
      <c r="I52" t="inlineStr">
        <is>
          <t>misc-5</t>
        </is>
      </c>
      <c r="J52" t="inlineStr">
        <is>
          <t>=MATCH(3,{5,1,4,2},1)</t>
        </is>
      </c>
      <c r="K52">
        <f t="array" ref="K52">MATCH(3,{5,1,4,2},1)</f>
        <v/>
      </c>
      <c r="L52" t="e">
        <v>#N/A</v>
      </c>
      <c r="M52">
        <f>IFERROR(K52=L52,IFERROR(ERROR.TYPE(K52)=ERROR.TYPE(L52),FALSE))</f>
        <v/>
      </c>
      <c r="N52" t="inlineStr">
        <is>
          <t>approximate match over unsorted data</t>
        </is>
      </c>
    </row>
    <row r="53">
      <c r="I53" t="inlineStr">
        <is>
          <t>misc-6</t>
        </is>
      </c>
      <c r="J53" t="inlineStr">
        <is>
          <t>=TEXT(3,1)</t>
        </is>
      </c>
      <c r="K53">
        <f t="array" ref="K53">TEXT(3,1)</f>
        <v/>
      </c>
      <c r="L53" t="inlineStr">
        <is>
          <t>3</t>
        </is>
      </c>
      <c r="M53">
        <f>IFERROR(K53=L53,IFERROR(ERROR.TYPE(K53)=ERROR.TYPE(L53),FALSE))</f>
        <v/>
      </c>
      <c r="N5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2026-10-08T18:45:56Z</dcterms:created>
  <dcterms:modified xsi:type="dcterms:W3CDTF">2026-10-08T18:45:56Z</dcterms:modified>
</cp:coreProperties>
</file>