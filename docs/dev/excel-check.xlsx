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1</v>
      </c>
      <c r="C1" t="n">
        <v>10</v>
      </c>
      <c r="D1" t="inlineStr">
        <is>
          <t>a</t>
        </is>
      </c>
      <c r="F1" t="inlineStr">
        <is>
          <t>Name</t>
        </is>
      </c>
      <c r="G1" t="inlineStr">
        <is>
          <t>Val</t>
        </is>
      </c>
      <c r="H1" t="inlineStr">
        <is>
          <t>Name</t>
        </is>
      </c>
      <c r="I1" t="inlineStr">
        <is>
          <t>id</t>
        </is>
      </c>
      <c r="J1" t="inlineStr">
        <is>
          <t>formula</t>
        </is>
      </c>
      <c r="K1" t="inlineStr">
        <is>
          <t>Excel</t>
        </is>
      </c>
      <c r="L1" t="inlineStr">
        <is>
          <t>gridcalc</t>
        </is>
      </c>
      <c r="M1" t="inlineStr">
        <is>
          <t>match</t>
        </is>
      </c>
      <c r="N1" t="inlineStr">
        <is>
          <t>in doubt</t>
        </is>
      </c>
    </row>
    <row r="2">
      <c r="B2" t="n">
        <v>2</v>
      </c>
      <c r="C2" t="n">
        <v>20</v>
      </c>
      <c r="D2" t="inlineStr">
        <is>
          <t>b</t>
        </is>
      </c>
      <c r="F2" t="inlineStr">
        <is>
          <t>x</t>
        </is>
      </c>
      <c r="G2" t="n">
        <v>1</v>
      </c>
      <c r="H2" t="inlineStr">
        <is>
          <t>x</t>
        </is>
      </c>
      <c r="I2" t="inlineStr">
        <is>
          <t>setup</t>
        </is>
      </c>
      <c r="J2" t="inlineStr">
        <is>
          <t>=AND(ISTEXT(B3),ISBLANK(A2),ISNA(G3))</t>
        </is>
      </c>
      <c r="K2">
        <f t="array" ref="K2">AND(ISTEXT(B3),ISBLANK(A2),ISNA(G3))</f>
        <v/>
      </c>
      <c r="L2" t="b">
        <v>1</v>
      </c>
      <c r="M2">
        <f>IFERROR(IF(AND(ISTEXT(K2),ISTEXT(L2)),EXACT(K2,L2),K2=L2),IFERROR(ERROR.TYPE(K2)=ERROR.TYPE(L2),FALSE))</f>
        <v/>
      </c>
      <c r="N2" t="inlineStr">
        <is>
          <t>TRUE means the inputs pasted as intended</t>
        </is>
      </c>
    </row>
    <row r="3">
      <c r="A3" t="n">
        <v>7</v>
      </c>
      <c r="B3" t="inlineStr">
        <is>
          <t>3</t>
        </is>
      </c>
      <c r="C3" t="n">
        <v>30</v>
      </c>
      <c r="D3" t="inlineStr">
        <is>
          <t>a</t>
        </is>
      </c>
      <c r="F3" t="inlineStr">
        <is>
          <t>y</t>
        </is>
      </c>
      <c r="G3">
        <f>NA()</f>
        <v/>
      </c>
      <c r="I3" t="inlineStr">
        <is>
          <t>pow-1</t>
        </is>
      </c>
      <c r="J3" t="inlineStr">
        <is>
          <t>=2^3^2</t>
        </is>
      </c>
      <c r="K3">
        <f t="array" ref="K3">2^3^2</f>
        <v/>
      </c>
      <c r="L3" t="n">
        <v>64</v>
      </c>
      <c r="M3">
        <f>IFERROR(IF(AND(ISTEXT(K3),ISTEXT(L3)),EXACT(K3,L3),K3=L3),IFERROR(ERROR.TYPE(K3)=ERROR.TYPE(L3),FALSE))</f>
        <v/>
      </c>
      <c r="N3" t="inlineStr">
        <is>
          <t>Excel documents left to right (64)</t>
        </is>
      </c>
    </row>
    <row r="4">
      <c r="A4" t="n">
        <v>-2.5</v>
      </c>
      <c r="B4" t="inlineStr">
        <is>
          <t>a</t>
        </is>
      </c>
      <c r="C4" t="n">
        <v>40</v>
      </c>
      <c r="D4" t="inlineStr">
        <is>
          <t>c</t>
        </is>
      </c>
      <c r="F4" t="inlineStr">
        <is>
          <t>x</t>
        </is>
      </c>
      <c r="G4" t="n">
        <v>3</v>
      </c>
      <c r="I4" t="inlineStr">
        <is>
          <t>pow-2</t>
        </is>
      </c>
      <c r="J4" t="inlineStr">
        <is>
          <t>=-2^2</t>
        </is>
      </c>
      <c r="K4">
        <f t="array" ref="K4">-2^2</f>
        <v/>
      </c>
      <c r="L4" t="n">
        <v>4</v>
      </c>
      <c r="M4">
        <f>IFERROR(IF(AND(ISTEXT(K4),ISTEXT(L4)),EXACT(K4,L4),K4=L4),IFERROR(ERROR.TYPE(K4)=ERROR.TYPE(L4),FALSE))</f>
        <v/>
      </c>
      <c r="N4" t="inlineStr">
        <is>
          <t>negation binds tighter than ^ in Excel (4)</t>
        </is>
      </c>
    </row>
    <row r="5">
      <c r="I5" t="inlineStr">
        <is>
          <t>pow-3</t>
        </is>
      </c>
      <c r="J5" t="inlineStr">
        <is>
          <t>=-2^0.5</t>
        </is>
      </c>
      <c r="K5">
        <f t="array" ref="K5">-2^0.5</f>
        <v/>
      </c>
      <c r="L5" t="e">
        <v>#NUM!</v>
      </c>
      <c r="M5">
        <f>IFERROR(IF(AND(ISTEXT(K5),ISTEXT(L5)),EXACT(K5,L5),K5=L5),IFERROR(ERROR.TYPE(K5)=ERROR.TYPE(L5),FALSE))</f>
        <v/>
      </c>
      <c r="N5" t="inlineStr">
        <is>
          <t>(-2)^0.5 in Excel: #NUM!</t>
        </is>
      </c>
    </row>
    <row r="6">
      <c r="F6" t="inlineStr">
        <is>
          <t>Name</t>
        </is>
      </c>
      <c r="G6" t="inlineStr">
        <is>
          <t>Val</t>
        </is>
      </c>
      <c r="H6" t="inlineStr">
        <is>
          <t>Name</t>
        </is>
      </c>
      <c r="I6" t="inlineStr">
        <is>
          <t>text-1</t>
        </is>
      </c>
      <c r="J6" t="inlineStr">
        <is>
          <t>=0.00001&amp;""</t>
        </is>
      </c>
      <c r="K6">
        <f t="array" ref="K6">0.00001&amp;""</f>
        <v/>
      </c>
      <c r="L6" t="inlineStr">
        <is>
          <t>0.00001</t>
        </is>
      </c>
      <c r="M6">
        <f>IFERROR(IF(AND(ISTEXT(K6),ISTEXT(L6)),EXACT(K6,L6),K6=L6),IFERROR(ERROR.TYPE(K6)=ERROR.TYPE(L6),FALSE))</f>
        <v/>
      </c>
      <c r="N6" t="inlineStr">
        <is>
          <t>gridcalc formats with %g</t>
        </is>
      </c>
    </row>
    <row r="7">
      <c r="F7" t="inlineStr">
        <is>
          <t>x</t>
        </is>
      </c>
      <c r="G7">
        <f>NA()</f>
        <v/>
      </c>
      <c r="H7" t="inlineStr">
        <is>
          <t>x</t>
        </is>
      </c>
      <c r="I7" t="inlineStr">
        <is>
          <t>text-2</t>
        </is>
      </c>
      <c r="J7" t="inlineStr">
        <is>
          <t>=1E-10&amp;""</t>
        </is>
      </c>
      <c r="K7">
        <f t="array" ref="K7">1E-10&amp;""</f>
        <v/>
      </c>
      <c r="L7" t="inlineStr">
        <is>
          <t>0.0000000001</t>
        </is>
      </c>
      <c r="M7">
        <f>IFERROR(IF(AND(ISTEXT(K7),ISTEXT(L7)),EXACT(K7,L7),K7=L7),IFERROR(ERROR.TYPE(K7)=ERROR.TYPE(L7),FALSE))</f>
        <v/>
      </c>
      <c r="N7" t="inlineStr"/>
    </row>
    <row r="8">
      <c r="F8" t="inlineStr">
        <is>
          <t>y</t>
        </is>
      </c>
      <c r="G8" t="n">
        <v>5</v>
      </c>
      <c r="I8" t="inlineStr">
        <is>
          <t>text-3</t>
        </is>
      </c>
      <c r="J8" t="inlineStr">
        <is>
          <t>=-0.0000123&amp;""</t>
        </is>
      </c>
      <c r="K8">
        <f t="array" ref="K8">-0.0000123&amp;""</f>
        <v/>
      </c>
      <c r="L8" t="inlineStr">
        <is>
          <t>-0.0000123</t>
        </is>
      </c>
      <c r="M8">
        <f>IFERROR(IF(AND(ISTEXT(K8),ISTEXT(L8)),EXACT(K8,L8),K8=L8),IFERROR(ERROR.TYPE(K8)=ERROR.TYPE(L8),FALSE))</f>
        <v/>
      </c>
      <c r="N8" t="inlineStr"/>
    </row>
    <row r="9">
      <c r="I9" t="inlineStr">
        <is>
          <t>text-4</t>
        </is>
      </c>
      <c r="J9" t="inlineStr">
        <is>
          <t>=1/3&amp;""</t>
        </is>
      </c>
      <c r="K9">
        <f t="array" ref="K9">1/3&amp;""</f>
        <v/>
      </c>
      <c r="L9" t="inlineStr">
        <is>
          <t>0.333333333333333</t>
        </is>
      </c>
      <c r="M9">
        <f>IFERROR(IF(AND(ISTEXT(K9),ISTEXT(L9)),EXACT(K9,L9),K9=L9),IFERROR(ERROR.TYPE(K9)=ERROR.TYPE(L9),FALSE))</f>
        <v/>
      </c>
      <c r="N9" t="inlineStr">
        <is>
          <t>15 significant digits</t>
        </is>
      </c>
    </row>
    <row r="10">
      <c r="I10" t="inlineStr">
        <is>
          <t>text-5</t>
        </is>
      </c>
      <c r="J10" t="inlineStr">
        <is>
          <t>=(0.1+0.2)&amp;""</t>
        </is>
      </c>
      <c r="K10">
        <f t="array" ref="K10">(0.1+0.2)&amp;""</f>
        <v/>
      </c>
      <c r="L10" t="inlineStr">
        <is>
          <t>0.3</t>
        </is>
      </c>
      <c r="M10">
        <f>IFERROR(IF(AND(ISTEXT(K10),ISTEXT(L10)),EXACT(K10,L10),K10=L10),IFERROR(ERROR.TYPE(K10)=ERROR.TYPE(L10),FALSE))</f>
        <v/>
      </c>
      <c r="N10" t="inlineStr"/>
    </row>
    <row r="11">
      <c r="I11" t="inlineStr">
        <is>
          <t>text-6</t>
        </is>
      </c>
      <c r="J11" t="inlineStr">
        <is>
          <t>=123456789012&amp;""</t>
        </is>
      </c>
      <c r="K11">
        <f t="array" ref="K11">123456789012&amp;""</f>
        <v/>
      </c>
      <c r="L11" t="inlineStr">
        <is>
          <t>123456789012</t>
        </is>
      </c>
      <c r="M11">
        <f>IFERROR(IF(AND(ISTEXT(K11),ISTEXT(L11)),EXACT(K11,L11),K11=L11),IFERROR(ERROR.TYPE(K11)=ERROR.TYPE(L11),FALSE))</f>
        <v/>
      </c>
      <c r="N11" t="inlineStr"/>
    </row>
    <row r="12">
      <c r="I12" t="inlineStr">
        <is>
          <t>text-7</t>
        </is>
      </c>
      <c r="J12" t="inlineStr">
        <is>
          <t>=12345678901234567&amp;""</t>
        </is>
      </c>
      <c r="K12">
        <f t="array" ref="K12">12345678901234567&amp;""</f>
        <v/>
      </c>
      <c r="L12" t="inlineStr">
        <is>
          <t>12345678901234600</t>
        </is>
      </c>
      <c r="M12">
        <f>IFERROR(IF(AND(ISTEXT(K12),ISTEXT(L12)),EXACT(K12,L12),K12=L12),IFERROR(ERROR.TYPE(K12)=ERROR.TYPE(L12),FALSE))</f>
        <v/>
      </c>
      <c r="N12" t="inlineStr">
        <is>
          <t>past 15 digits</t>
        </is>
      </c>
    </row>
    <row r="13">
      <c r="I13" t="inlineStr">
        <is>
          <t>text-8</t>
        </is>
      </c>
      <c r="J13" t="inlineStr">
        <is>
          <t>=1E+20&amp;""</t>
        </is>
      </c>
      <c r="K13">
        <f t="array" ref="K13">1E+20&amp;""</f>
        <v/>
      </c>
      <c r="L13" t="inlineStr">
        <is>
          <t>1E+20</t>
        </is>
      </c>
      <c r="M13">
        <f>IFERROR(IF(AND(ISTEXT(K13),ISTEXT(L13)),EXACT(K13,L13),K13=L13),IFERROR(ERROR.TYPE(K13)=ERROR.TYPE(L13),FALSE))</f>
        <v/>
      </c>
      <c r="N13" t="inlineStr"/>
    </row>
    <row r="14">
      <c r="I14" t="inlineStr">
        <is>
          <t>text-9</t>
        </is>
      </c>
      <c r="J14" t="inlineStr">
        <is>
          <t>=1E-11&amp;""</t>
        </is>
      </c>
      <c r="K14">
        <f t="array" ref="K14">1E-11&amp;""</f>
        <v/>
      </c>
      <c r="L14" t="inlineStr">
        <is>
          <t>1E-11</t>
        </is>
      </c>
      <c r="M14">
        <f>IFERROR(IF(AND(ISTEXT(K14),ISTEXT(L14)),EXACT(K14,L14),K14=L14),IFERROR(ERROR.TYPE(K14)=ERROR.TYPE(L14),FALSE))</f>
        <v/>
      </c>
      <c r="N14" t="inlineStr">
        <is>
          <t>gridcalc writes exponents below -10 in scientific form; edge unknown</t>
        </is>
      </c>
    </row>
    <row r="15">
      <c r="I15" t="inlineStr">
        <is>
          <t>text-10</t>
        </is>
      </c>
      <c r="J15" t="inlineStr">
        <is>
          <t>=1E-15&amp;""</t>
        </is>
      </c>
      <c r="K15">
        <f t="array" ref="K15">1E-15&amp;""</f>
        <v/>
      </c>
      <c r="L15" t="inlineStr">
        <is>
          <t>1E-15</t>
        </is>
      </c>
      <c r="M15">
        <f>IFERROR(IF(AND(ISTEXT(K15),ISTEXT(L15)),EXACT(K15,L15),K15=L15),IFERROR(ERROR.TYPE(K15)=ERROR.TYPE(L15),FALSE))</f>
        <v/>
      </c>
      <c r="N15" t="inlineStr"/>
    </row>
    <row r="16">
      <c r="I16" t="inlineStr">
        <is>
          <t>text-11</t>
        </is>
      </c>
      <c r="J16" t="inlineStr">
        <is>
          <t>=1E-19&amp;""</t>
        </is>
      </c>
      <c r="K16">
        <f t="array" ref="K16">1E-19&amp;""</f>
        <v/>
      </c>
      <c r="L16" t="inlineStr">
        <is>
          <t>1E-19</t>
        </is>
      </c>
      <c r="M16">
        <f>IFERROR(IF(AND(ISTEXT(K16),ISTEXT(L16)),EXACT(K16,L16),K16=L16),IFERROR(ERROR.TYPE(K16)=ERROR.TYPE(L16),FALSE))</f>
        <v/>
      </c>
      <c r="N16" t="inlineStr"/>
    </row>
    <row r="17">
      <c r="I17" t="inlineStr">
        <is>
          <t>text-12</t>
        </is>
      </c>
      <c r="J17" t="inlineStr">
        <is>
          <t>=1/3*1E-10&amp;""</t>
        </is>
      </c>
      <c r="K17">
        <f t="array" ref="K17">1/3*1E-10&amp;""</f>
        <v/>
      </c>
      <c r="L17" t="inlineStr">
        <is>
          <t>3.33333333333333E-11</t>
        </is>
      </c>
      <c r="M17">
        <f>IFERROR(IF(AND(ISTEXT(K17),ISTEXT(L17)),EXACT(K17,L17),K17=L17),IFERROR(ERROR.TYPE(K17)=ERROR.TYPE(L17),FALSE))</f>
        <v/>
      </c>
      <c r="N17" t="inlineStr">
        <is>
          <t>15 digits past the edge</t>
        </is>
      </c>
    </row>
    <row r="18">
      <c r="I18" t="inlineStr">
        <is>
          <t>text-13</t>
        </is>
      </c>
      <c r="J18" t="inlineStr">
        <is>
          <t>=1E+19&amp;""</t>
        </is>
      </c>
      <c r="K18">
        <f t="array" ref="K18">1E+19&amp;""</f>
        <v/>
      </c>
      <c r="L18" t="inlineStr">
        <is>
          <t>10000000000000000000</t>
        </is>
      </c>
      <c r="M18">
        <f>IFERROR(IF(AND(ISTEXT(K18),ISTEXT(L18)),EXACT(K18,L18),K18=L18),IFERROR(ERROR.TYPE(K18)=ERROR.TYPE(L18),FALSE))</f>
        <v/>
      </c>
      <c r="N18" t="inlineStr">
        <is>
          <t>gridcalc writes exponents 20 and up in scientific form</t>
        </is>
      </c>
    </row>
    <row r="19">
      <c r="I19" t="inlineStr">
        <is>
          <t>text-14</t>
        </is>
      </c>
      <c r="J19" t="inlineStr">
        <is>
          <t>=2^53&amp;""</t>
        </is>
      </c>
      <c r="K19">
        <f t="array" ref="K19">2^53&amp;""</f>
        <v/>
      </c>
      <c r="L19" t="inlineStr">
        <is>
          <t>9007199254740990</t>
        </is>
      </c>
      <c r="M19">
        <f>IFERROR(IF(AND(ISTEXT(K19),ISTEXT(L19)),EXACT(K19,L19),K19=L19),IFERROR(ERROR.TYPE(K19)=ERROR.TYPE(L19),FALSE))</f>
        <v/>
      </c>
      <c r="N19" t="inlineStr">
        <is>
          <t>16-digit integer: rounded to 15 digits, or scientific?</t>
        </is>
      </c>
    </row>
    <row r="20">
      <c r="I20" t="inlineStr">
        <is>
          <t>num-1</t>
        </is>
      </c>
      <c r="J20" t="inlineStr">
        <is>
          <t>=12345678901234567-12345678901234500</t>
        </is>
      </c>
      <c r="K20">
        <f t="array" ref="K20">12345678901234567-12345678901234500</f>
        <v/>
      </c>
      <c r="L20" t="n">
        <v>68</v>
      </c>
      <c r="M20">
        <f>IFERROR(IF(AND(ISTEXT(K20),ISTEXT(L20)),EXACT(K20,L20),K20=L20),IFERROR(ERROR.TYPE(K20)=ERROR.TYPE(L20),FALSE))</f>
        <v/>
      </c>
      <c r="N20" t="inlineStr">
        <is>
          <t>Excel keeps 15 digits of a typed number</t>
        </is>
      </c>
    </row>
    <row r="21">
      <c r="I21" t="inlineStr">
        <is>
          <t>blank-1</t>
        </is>
      </c>
      <c r="J21" t="inlineStr">
        <is>
          <t>=ROUND(2.5,)</t>
        </is>
      </c>
      <c r="K21">
        <f t="array" ref="K21">ROUND(2.5,)</f>
        <v/>
      </c>
      <c r="L21" t="n">
        <v>3</v>
      </c>
      <c r="M21">
        <f>IFERROR(IF(AND(ISTEXT(K21),ISTEXT(L21)),EXACT(K21,L21),K21=L21),IFERROR(ERROR.TYPE(K21)=ERROR.TYPE(L21),FALSE))</f>
        <v/>
      </c>
      <c r="N21" t="inlineStr">
        <is>
          <t>omitted number argument reads as 0</t>
        </is>
      </c>
    </row>
    <row r="22">
      <c r="I22" t="inlineStr">
        <is>
          <t>blank-2</t>
        </is>
      </c>
      <c r="J22" t="inlineStr">
        <is>
          <t>=ROUND(2.5,Z9)</t>
        </is>
      </c>
      <c r="K22">
        <f t="array" ref="K22">ROUND(2.5,Z9)</f>
        <v/>
      </c>
      <c r="L22" t="n">
        <v>3</v>
      </c>
      <c r="M22">
        <f>IFERROR(IF(AND(ISTEXT(K22),ISTEXT(L22)),EXACT(K22,L22),K22=L22),IFERROR(ERROR.TYPE(K22)=ERROR.TYPE(L22),FALSE))</f>
        <v/>
      </c>
      <c r="N22" t="inlineStr">
        <is>
          <t>blank cell reads as 0</t>
        </is>
      </c>
    </row>
    <row r="23">
      <c r="I23" t="inlineStr">
        <is>
          <t>blank-3</t>
        </is>
      </c>
      <c r="J23" t="inlineStr">
        <is>
          <t>=LEFT("abc",)</t>
        </is>
      </c>
      <c r="K23">
        <f t="array" ref="K23">LEFT("abc",)</f>
        <v/>
      </c>
      <c r="L23" t="inlineStr"/>
      <c r="M23">
        <f>IFERROR(IF(AND(ISTEXT(K23),ISTEXT(L23)),EXACT(K23,L23),K23=L23),IFERROR(ERROR.TYPE(K23)=ERROR.TYPE(L23),FALSE))</f>
        <v/>
      </c>
      <c r="N23" t="inlineStr">
        <is>
          <t>omitted count reads as 0</t>
        </is>
      </c>
    </row>
    <row r="24">
      <c r="I24" t="inlineStr">
        <is>
          <t>blank-4</t>
        </is>
      </c>
      <c r="J24" t="inlineStr">
        <is>
          <t>=SUBSTITUTE("abc","b",)</t>
        </is>
      </c>
      <c r="K24">
        <f t="array" ref="K24">SUBSTITUTE("abc","b",)</f>
        <v/>
      </c>
      <c r="L24" t="inlineStr">
        <is>
          <t>ac</t>
        </is>
      </c>
      <c r="M24">
        <f>IFERROR(IF(AND(ISTEXT(K24),ISTEXT(L24)),EXACT(K24,L24),K24=L24),IFERROR(ERROR.TYPE(K24)=ERROR.TYPE(L24),FALSE))</f>
        <v/>
      </c>
      <c r="N24" t="inlineStr">
        <is>
          <t>omitted text reads as empty</t>
        </is>
      </c>
    </row>
    <row r="25">
      <c r="I25" t="inlineStr">
        <is>
          <t>blank-5</t>
        </is>
      </c>
      <c r="J25" t="inlineStr">
        <is>
          <t>=CONCAT("a",,"b")</t>
        </is>
      </c>
      <c r="K25">
        <f t="array" ref="K25">_xlfn.CONCAT("a",,"b")</f>
        <v/>
      </c>
      <c r="L25" t="inlineStr">
        <is>
          <t>ab</t>
        </is>
      </c>
      <c r="M25">
        <f>IFERROR(IF(AND(ISTEXT(K25),ISTEXT(L25)),EXACT(K25,L25),K25=L25),IFERROR(ERROR.TYPE(K25)=ERROR.TYPE(L25),FALSE))</f>
        <v/>
      </c>
      <c r="N25" t="inlineStr"/>
    </row>
    <row r="26">
      <c r="I26" t="inlineStr">
        <is>
          <t>blank-6</t>
        </is>
      </c>
      <c r="J26" t="inlineStr">
        <is>
          <t>=IF(FALSE,1,)</t>
        </is>
      </c>
      <c r="K26">
        <f t="array" ref="K26">IF(FALSE,1,)</f>
        <v/>
      </c>
      <c r="L26" t="n">
        <v>0</v>
      </c>
      <c r="M26">
        <f>IFERROR(IF(AND(ISTEXT(K26),ISTEXT(L26)),EXACT(K26,L26),K26=L26),IFERROR(ERROR.TYPE(K26)=ERROR.TYPE(L26),FALSE))</f>
        <v/>
      </c>
      <c r="N26" t="inlineStr"/>
    </row>
    <row r="27">
      <c r="I27" t="inlineStr">
        <is>
          <t>lift-1</t>
        </is>
      </c>
      <c r="J27" t="inlineStr">
        <is>
          <t>=TEXTJOIN(",",FALSE,LEN(A1:A3))</t>
        </is>
      </c>
      <c r="K27">
        <f t="array" ref="K27">_xlfn.TEXTJOIN(",",FALSE,LEN(A1:A3))</f>
        <v/>
      </c>
      <c r="L27" t="inlineStr">
        <is>
          <t>1,0,1</t>
        </is>
      </c>
      <c r="M27">
        <f>IFERROR(IF(AND(ISTEXT(K27),ISTEXT(L27)),EXACT(K27,L27),K27=L27),IFERROR(ERROR.TYPE(K27)=ERROR.TYPE(L27),FALSE))</f>
        <v/>
      </c>
      <c r="N27" t="inlineStr">
        <is>
          <t>scalar function over a range</t>
        </is>
      </c>
    </row>
    <row r="28">
      <c r="I28" t="inlineStr">
        <is>
          <t>lift-2</t>
        </is>
      </c>
      <c r="J28" t="inlineStr">
        <is>
          <t>=TEXTJOIN(",",FALSE,ROUND(A1:A4,0))</t>
        </is>
      </c>
      <c r="K28">
        <f t="array" ref="K28">_xlfn.TEXTJOIN(",",FALSE,ROUND(A1:A4,0))</f>
        <v/>
      </c>
      <c r="L28" t="inlineStr">
        <is>
          <t>5,0,7,-3</t>
        </is>
      </c>
      <c r="M28">
        <f>IFERROR(IF(AND(ISTEXT(K28),ISTEXT(L28)),EXACT(K28,L28),K28=L28),IFERROR(ERROR.TYPE(K28)=ERROR.TYPE(L28),FALSE))</f>
        <v/>
      </c>
      <c r="N28" t="inlineStr">
        <is>
          <t>ROUND(-2.5,0) rounds away from zero</t>
        </is>
      </c>
    </row>
    <row r="29">
      <c r="I29" t="inlineStr">
        <is>
          <t>lift-3</t>
        </is>
      </c>
      <c r="J29" t="inlineStr">
        <is>
          <t>=TEXTJOIN(",",FALSE,MOD(C1:C4,3))</t>
        </is>
      </c>
      <c r="K29">
        <f t="array" ref="K29">_xlfn.TEXTJOIN(",",FALSE,MOD(C1:C4,3))</f>
        <v/>
      </c>
      <c r="L29" t="inlineStr">
        <is>
          <t>1,2,0,1</t>
        </is>
      </c>
      <c r="M29">
        <f>IFERROR(IF(AND(ISTEXT(K29),ISTEXT(L29)),EXACT(K29,L29),K29=L29),IFERROR(ERROR.TYPE(K29)=ERROR.TYPE(L29),FALSE))</f>
        <v/>
      </c>
      <c r="N29" t="inlineStr"/>
    </row>
    <row r="30">
      <c r="I30" t="inlineStr">
        <is>
          <t>lift-4</t>
        </is>
      </c>
      <c r="J30" t="inlineStr">
        <is>
          <t>=TEXTJOIN(",",FALSE,UPPER(D1:D4))</t>
        </is>
      </c>
      <c r="K30">
        <f t="array" ref="K30">_xlfn.TEXTJOIN(",",FALSE,UPPER(D1:D4))</f>
        <v/>
      </c>
      <c r="L30" t="inlineStr">
        <is>
          <t>A,B,A,C</t>
        </is>
      </c>
      <c r="M30">
        <f>IFERROR(IF(AND(ISTEXT(K30),ISTEXT(L30)),EXACT(K30,L30),K30=L30),IFERROR(ERROR.TYPE(K30)=ERROR.TYPE(L30),FALSE))</f>
        <v/>
      </c>
      <c r="N30" t="inlineStr"/>
    </row>
    <row r="31">
      <c r="I31" t="inlineStr">
        <is>
          <t>lift-5</t>
        </is>
      </c>
      <c r="J31" t="inlineStr">
        <is>
          <t>=TEXTJOIN(",",FALSE,TEXT(C1:C3,"0.0"))</t>
        </is>
      </c>
      <c r="K31">
        <f t="array" ref="K31">_xlfn.TEXTJOIN(",",FALSE,TEXT(C1:C3,"0.0"))</f>
        <v/>
      </c>
      <c r="L31" t="inlineStr">
        <is>
          <t>10.0,20.0,30.0</t>
        </is>
      </c>
      <c r="M31">
        <f>IFERROR(IF(AND(ISTEXT(K31),ISTEXT(L31)),EXACT(K31,L31),K31=L31),IFERROR(ERROR.TYPE(K31)=ERROR.TYPE(L31),FALSE))</f>
        <v/>
      </c>
      <c r="N31" t="inlineStr"/>
    </row>
    <row r="32">
      <c r="I32" t="inlineStr">
        <is>
          <t>lift-6</t>
        </is>
      </c>
      <c r="J32" t="inlineStr">
        <is>
          <t>=SUM(LEN(A1:A3))</t>
        </is>
      </c>
      <c r="K32">
        <f t="array" ref="K32">SUM(LEN(A1:A3))</f>
        <v/>
      </c>
      <c r="L32" t="n">
        <v>2</v>
      </c>
      <c r="M32">
        <f>IFERROR(IF(AND(ISTEXT(K32),ISTEXT(L32)),EXACT(K32,L32),K32=L32),IFERROR(ERROR.TYPE(K32)=ERROR.TYPE(L32),FALSE))</f>
        <v/>
      </c>
      <c r="N32" t="inlineStr"/>
    </row>
    <row r="33">
      <c r="I33" t="inlineStr">
        <is>
          <t>crit-1</t>
        </is>
      </c>
      <c r="J33" t="inlineStr">
        <is>
          <t>=COUNTIF(B1:B3,3)</t>
        </is>
      </c>
      <c r="K33">
        <f t="array" ref="K33">COUNTIF(B1:B3,3)</f>
        <v/>
      </c>
      <c r="L33" t="n">
        <v>1</v>
      </c>
      <c r="M33">
        <f>IFERROR(IF(AND(ISTEXT(K33),ISTEXT(L33)),EXACT(K33,L33),K33=L33),IFERROR(ERROR.TYPE(K33)=ERROR.TYPE(L33),FALSE))</f>
        <v/>
      </c>
      <c r="N33" t="inlineStr">
        <is>
          <t>does the text '3 count?</t>
        </is>
      </c>
    </row>
    <row r="34">
      <c r="I34" t="inlineStr">
        <is>
          <t>crit-2</t>
        </is>
      </c>
      <c r="J34" t="inlineStr">
        <is>
          <t>=COUNTIF(B1:B3,"3")</t>
        </is>
      </c>
      <c r="K34">
        <f t="array" ref="K34">COUNTIF(B1:B3,"3")</f>
        <v/>
      </c>
      <c r="L34" t="n">
        <v>1</v>
      </c>
      <c r="M34">
        <f>IFERROR(IF(AND(ISTEXT(K34),ISTEXT(L34)),EXACT(K34,L34),K34=L34),IFERROR(ERROR.TYPE(K34)=ERROR.TYPE(L34),FALSE))</f>
        <v/>
      </c>
      <c r="N34" t="inlineStr"/>
    </row>
    <row r="35">
      <c r="I35" t="inlineStr">
        <is>
          <t>crit-3</t>
        </is>
      </c>
      <c r="J35" t="inlineStr">
        <is>
          <t>=COUNTIF(B1:B3,"&gt;1")</t>
        </is>
      </c>
      <c r="K35">
        <f t="array" ref="K35">COUNTIF(B1:B3,"&gt;1")</f>
        <v/>
      </c>
      <c r="L35" t="n">
        <v>1</v>
      </c>
      <c r="M35">
        <f>IFERROR(IF(AND(ISTEXT(K35),ISTEXT(L35)),EXACT(K35,L35),K35=L35),IFERROR(ERROR.TYPE(K35)=ERROR.TYPE(L35),FALSE))</f>
        <v/>
      </c>
      <c r="N35" t="inlineStr"/>
    </row>
    <row r="36">
      <c r="I36" t="inlineStr">
        <is>
          <t>crit-4</t>
        </is>
      </c>
      <c r="J36" t="inlineStr">
        <is>
          <t>=SUMIF(B1:B4,"&gt;0")</t>
        </is>
      </c>
      <c r="K36">
        <f t="array" ref="K36">SUMIF(B1:B4,"&gt;0")</f>
        <v/>
      </c>
      <c r="L36" t="n">
        <v>3</v>
      </c>
      <c r="M36">
        <f>IFERROR(IF(AND(ISTEXT(K36),ISTEXT(L36)),EXACT(K36,L36),K36=L36),IFERROR(ERROR.TYPE(K36)=ERROR.TYPE(L36),FALSE))</f>
        <v/>
      </c>
      <c r="N36" t="inlineStr"/>
    </row>
    <row r="37">
      <c r="I37" t="inlineStr">
        <is>
          <t>crit-5</t>
        </is>
      </c>
      <c r="J37" t="inlineStr">
        <is>
          <t>=SUMIF(C1:C4,"&gt;15",A1:A2)</t>
        </is>
      </c>
      <c r="K37">
        <f t="array" ref="K37">SUMIF(C1:C4,"&gt;15",A1:A2)</f>
        <v/>
      </c>
      <c r="L37" t="n">
        <v>4.5</v>
      </c>
      <c r="M37">
        <f>IFERROR(IF(AND(ISTEXT(K37),ISTEXT(L37)),EXACT(K37,L37),K37=L37),IFERROR(ERROR.TYPE(K37)=ERROR.TYPE(L37),FALSE))</f>
        <v/>
      </c>
      <c r="N37" t="inlineStr">
        <is>
          <t>Excel resizes sum_range from its top-left</t>
        </is>
      </c>
    </row>
    <row r="38">
      <c r="I38" t="inlineStr">
        <is>
          <t>crit-6</t>
        </is>
      </c>
      <c r="J38" t="inlineStr">
        <is>
          <t>=TEXTJOIN(",",FALSE,SUMIF(D1:D4,{"a","b"},C1:C4))</t>
        </is>
      </c>
      <c r="K38">
        <f t="array" ref="K38">_xlfn.TEXTJOIN(",",FALSE,SUMIF(D1:D4,{"a","b"},C1:C4))</f>
        <v/>
      </c>
      <c r="L38" t="inlineStr">
        <is>
          <t>40,20</t>
        </is>
      </c>
      <c r="M38">
        <f>IFERROR(IF(AND(ISTEXT(K38),ISTEXT(L38)),EXACT(K38,L38),K38=L38),IFERROR(ERROR.TYPE(K38)=ERROR.TYPE(L38),FALSE))</f>
        <v/>
      </c>
      <c r="N38" t="inlineStr">
        <is>
          <t>array criteria</t>
        </is>
      </c>
    </row>
    <row r="39">
      <c r="I39" t="inlineStr">
        <is>
          <t>crit-7</t>
        </is>
      </c>
      <c r="J39" t="inlineStr">
        <is>
          <t>=SUM(COUNTIF(D1:D4,{"a","c"}))</t>
        </is>
      </c>
      <c r="K39">
        <f t="array" ref="K39">SUM(COUNTIF(D1:D4,{"a","c"}))</f>
        <v/>
      </c>
      <c r="L39" t="n">
        <v>3</v>
      </c>
      <c r="M39">
        <f>IFERROR(IF(AND(ISTEXT(K39),ISTEXT(L39)),EXACT(K39,L39),K39=L39),IFERROR(ERROR.TYPE(K39)=ERROR.TYPE(L39),FALSE))</f>
        <v/>
      </c>
      <c r="N39" t="inlineStr"/>
    </row>
    <row r="40">
      <c r="I40" t="inlineStr">
        <is>
          <t>crit-8</t>
        </is>
      </c>
      <c r="J40" t="inlineStr">
        <is>
          <t>=COUNTIF(B1:B4,"&lt;&gt;3")</t>
        </is>
      </c>
      <c r="K40">
        <f t="array" ref="K40">COUNTIF(B1:B4,"&lt;&gt;3")</f>
        <v/>
      </c>
      <c r="L40" t="n">
        <v>2</v>
      </c>
      <c r="M40">
        <f>IFERROR(IF(AND(ISTEXT(K40),ISTEXT(L40)),EXACT(K40,L40),K40=L40),IFERROR(ERROR.TYPE(K40)=ERROR.TYPE(L40),FALSE))</f>
        <v/>
      </c>
      <c r="N40" t="inlineStr">
        <is>
          <t>gridcalc counts only numbers for &lt;&gt;</t>
        </is>
      </c>
    </row>
    <row r="41">
      <c r="I41" t="inlineStr">
        <is>
          <t>crit-9</t>
        </is>
      </c>
      <c r="J41" t="inlineStr">
        <is>
          <t>=COUNTIF(A1:A4,"&lt;&gt;5")</t>
        </is>
      </c>
      <c r="K41">
        <f t="array" ref="K41">COUNTIF(A1:A4,"&lt;&gt;5")</f>
        <v/>
      </c>
      <c r="L41" t="n">
        <v>2</v>
      </c>
      <c r="M41">
        <f>IFERROR(IF(AND(ISTEXT(K41),ISTEXT(L41)),EXACT(K41,L41),K41=L41),IFERROR(ERROR.TYPE(K41)=ERROR.TYPE(L41),FALSE))</f>
        <v/>
      </c>
      <c r="N41" t="inlineStr">
        <is>
          <t>does the blank A2 count?</t>
        </is>
      </c>
    </row>
    <row r="42">
      <c r="I42" t="inlineStr">
        <is>
          <t>arr-1</t>
        </is>
      </c>
      <c r="J42" t="inlineStr">
        <is>
          <t>=ROWS(FILTER(C1:C4,C1:C4&gt;15))</t>
        </is>
      </c>
      <c r="K42">
        <f t="array" ref="K42">ROWS(_xlfn._xlws.FILTER(C1:C4,C1:C4&gt;15))</f>
        <v/>
      </c>
      <c r="L42" t="n">
        <v>3</v>
      </c>
      <c r="M42">
        <f>IFERROR(IF(AND(ISTEXT(K42),ISTEXT(L42)),EXACT(K42,L42),K42=L42),IFERROR(ERROR.TYPE(K42)=ERROR.TYPE(L42),FALSE))</f>
        <v/>
      </c>
      <c r="N42" t="inlineStr"/>
    </row>
    <row r="43">
      <c r="I43" t="inlineStr">
        <is>
          <t>arr-2</t>
        </is>
      </c>
      <c r="J43" t="inlineStr">
        <is>
          <t>=TEXTJOIN(",",FALSE,FREQUENCY({1,2,3,4,5},{4,2}))</t>
        </is>
      </c>
      <c r="K43">
        <f t="array" ref="K43">_xlfn.TEXTJOIN(",",FALSE,FREQUENCY({1,2,3,4,5},{4,2}))</f>
        <v/>
      </c>
      <c r="L43" t="inlineStr">
        <is>
          <t>4,0,1</t>
        </is>
      </c>
      <c r="M43">
        <f>IFERROR(IF(AND(ISTEXT(K43),ISTEXT(L43)),EXACT(K43,L43),K43=L43),IFERROR(ERROR.TYPE(K43)=ERROR.TYPE(L43),FALSE))</f>
        <v/>
      </c>
      <c r="N43" t="inlineStr">
        <is>
          <t>unsorted bins</t>
        </is>
      </c>
    </row>
    <row r="44">
      <c r="I44" t="inlineStr">
        <is>
          <t>arr-3</t>
        </is>
      </c>
      <c r="J44" t="inlineStr">
        <is>
          <t>=TEXTJOIN(",",FALSE,ISFORMULA(G1:G3))</t>
        </is>
      </c>
      <c r="K44">
        <f t="array" ref="K44">_xlfn.TEXTJOIN(",",FALSE,_xlfn.ISFORMULA(G1:G3))</f>
        <v/>
      </c>
      <c r="L44" t="inlineStr">
        <is>
          <t>FALSE,FALSE,TRUE</t>
        </is>
      </c>
      <c r="M44">
        <f>IFERROR(IF(AND(ISTEXT(K44),ISTEXT(L44)),EXACT(K44,L44),K44=L44),IFERROR(ERROR.TYPE(K44)=ERROR.TYPE(L44),FALSE))</f>
        <v/>
      </c>
      <c r="N44" t="inlineStr">
        <is>
          <t>ISFORMULA over a range</t>
        </is>
      </c>
    </row>
    <row r="45">
      <c r="I45" t="inlineStr">
        <is>
          <t>db-1</t>
        </is>
      </c>
      <c r="J45" t="inlineStr">
        <is>
          <t>=DSUM(F1:G4,"Val",H1:H2)</t>
        </is>
      </c>
      <c r="K45">
        <f t="array" ref="K45">DSUM(F1:G4,"Val",H1:H2)</f>
        <v/>
      </c>
      <c r="L45" t="n">
        <v>4</v>
      </c>
      <c r="M45">
        <f>IFERROR(IF(AND(ISTEXT(K45),ISTEXT(L45)),EXACT(K45,L45),K45=L45),IFERROR(ERROR.TYPE(K45)=ERROR.TYPE(L45),FALSE))</f>
        <v/>
      </c>
      <c r="N45" t="inlineStr">
        <is>
          <t>an error in an unmatched row</t>
        </is>
      </c>
    </row>
    <row r="46">
      <c r="I46" t="inlineStr">
        <is>
          <t>db-2</t>
        </is>
      </c>
      <c r="J46" t="inlineStr">
        <is>
          <t>=DCOUNT(F1:G4,"Val",H1:H2)</t>
        </is>
      </c>
      <c r="K46">
        <f t="array" ref="K46">DCOUNT(F1:G4,"Val",H1:H2)</f>
        <v/>
      </c>
      <c r="L46" t="n">
        <v>2</v>
      </c>
      <c r="M46">
        <f>IFERROR(IF(AND(ISTEXT(K46),ISTEXT(L46)),EXACT(K46,L46),K46=L46),IFERROR(ERROR.TYPE(K46)=ERROR.TYPE(L46),FALSE))</f>
        <v/>
      </c>
      <c r="N46" t="inlineStr"/>
    </row>
    <row r="47">
      <c r="I47" t="inlineStr">
        <is>
          <t>db-3</t>
        </is>
      </c>
      <c r="J47" t="inlineStr">
        <is>
          <t>=DSUM(F6:G8,"Val",H6:H7)</t>
        </is>
      </c>
      <c r="K47">
        <f t="array" ref="K47">DSUM(F6:G8,"Val",H6:H7)</f>
        <v/>
      </c>
      <c r="L47" t="e">
        <v>#N/A</v>
      </c>
      <c r="M47">
        <f>IFERROR(IF(AND(ISTEXT(K47),ISTEXT(L47)),EXACT(K47,L47),K47=L47),IFERROR(ERROR.TYPE(K47)=ERROR.TYPE(L47),FALSE))</f>
        <v/>
      </c>
      <c r="N47" t="inlineStr">
        <is>
          <t>an error in the matched row: gridcalc propagates it</t>
        </is>
      </c>
    </row>
    <row r="48">
      <c r="I48" t="inlineStr">
        <is>
          <t>db-4</t>
        </is>
      </c>
      <c r="J48" t="inlineStr">
        <is>
          <t>=DCOUNT(F6:G8,"Val",H6:H7)</t>
        </is>
      </c>
      <c r="K48">
        <f t="array" ref="K48">DCOUNT(F6:G8,"Val",H6:H7)</f>
        <v/>
      </c>
      <c r="L48" t="e">
        <v>#N/A</v>
      </c>
      <c r="M48">
        <f>IFERROR(IF(AND(ISTEXT(K48),ISTEXT(L48)),EXACT(K48,L48),K48=L48),IFERROR(ERROR.TYPE(K48)=ERROR.TYPE(L48),FALSE))</f>
        <v/>
      </c>
      <c r="N48" t="inlineStr"/>
    </row>
    <row r="49">
      <c r="I49" t="inlineStr">
        <is>
          <t>date-1</t>
        </is>
      </c>
      <c r="J49" t="inlineStr">
        <is>
          <t>=EOMONTH(DATE(1900,1,15),1)</t>
        </is>
      </c>
      <c r="K49">
        <f t="array" ref="K49">EOMONTH(DATE(1900,1,15),1)</f>
        <v/>
      </c>
      <c r="L49" t="n">
        <v>59</v>
      </c>
      <c r="M49">
        <f>IFERROR(IF(AND(ISTEXT(K49),ISTEXT(L49)),EXACT(K49,L49),K49=L49),IFERROR(ERROR.TYPE(K49)=ERROR.TYPE(L49),FALSE))</f>
        <v/>
      </c>
      <c r="N49" t="inlineStr">
        <is>
          <t>phantom 1900-02-29</t>
        </is>
      </c>
    </row>
    <row r="50">
      <c r="I50" t="inlineStr">
        <is>
          <t>date-2</t>
        </is>
      </c>
      <c r="J50" t="inlineStr">
        <is>
          <t>=DAYS(10.9,1.1)</t>
        </is>
      </c>
      <c r="K50">
        <f t="array" ref="K50">_xlfn.DAYS(10.9,1.1)</f>
        <v/>
      </c>
      <c r="L50" t="n">
        <v>9</v>
      </c>
      <c r="M50">
        <f>IFERROR(IF(AND(ISTEXT(K50),ISTEXT(L50)),EXACT(K50,L50),K50=L50),IFERROR(ERROR.TYPE(K50)=ERROR.TYPE(L50),FALSE))</f>
        <v/>
      </c>
      <c r="N50" t="inlineStr">
        <is>
          <t>fractional serials</t>
        </is>
      </c>
    </row>
    <row r="51">
      <c r="I51" t="inlineStr">
        <is>
          <t>yf-1</t>
        </is>
      </c>
      <c r="J51" t="inlineStr">
        <is>
          <t>=YEARFRAC(DATE(2023,12,31),DATE(2024,3,1),0)</t>
        </is>
      </c>
      <c r="K51">
        <f t="array" ref="K51">YEARFRAC(DATE(2023,12,31),DATE(2024,3,1),0)</f>
        <v/>
      </c>
      <c r="L51">
        <f>0.16944444444444445</f>
        <v/>
      </c>
      <c r="M51">
        <f>IFERROR(IF(AND(ISTEXT(K51),ISTEXT(L51)),EXACT(K51,L51),K51=L51),IFERROR(ERROR.TYPE(K51)=ERROR.TYPE(L51),FALSE))</f>
        <v/>
      </c>
      <c r="N51" t="inlineStr"/>
    </row>
    <row r="52">
      <c r="I52" t="inlineStr">
        <is>
          <t>yf-2</t>
        </is>
      </c>
      <c r="J52" t="inlineStr">
        <is>
          <t>=YEARFRAC(DATE(2023,12,31),DATE(2024,3,1),1)</t>
        </is>
      </c>
      <c r="K52">
        <f t="array" ref="K52">YEARFRAC(DATE(2023,12,31),DATE(2024,3,1),1)</f>
        <v/>
      </c>
      <c r="L52">
        <f>0.16689466484268126</f>
        <v/>
      </c>
      <c r="M52">
        <f>IFERROR(IF(AND(ISTEXT(K52),ISTEXT(L52)),EXACT(K52,L52),K52=L52),IFERROR(ERROR.TYPE(K52)=ERROR.TYPE(L52),FALSE))</f>
        <v/>
      </c>
      <c r="N52" t="inlineStr"/>
    </row>
    <row r="53">
      <c r="I53" t="inlineStr">
        <is>
          <t>yf-3</t>
        </is>
      </c>
      <c r="J53" t="inlineStr">
        <is>
          <t>=YEARFRAC(DATE(2023,6,15),DATE(2025,2,28),0)</t>
        </is>
      </c>
      <c r="K53">
        <f t="array" ref="K53">YEARFRAC(DATE(2023,6,15),DATE(2025,2,28),0)</f>
        <v/>
      </c>
      <c r="L53">
        <f>1.7027777777777777</f>
        <v/>
      </c>
      <c r="M53">
        <f>IFERROR(IF(AND(ISTEXT(K53),ISTEXT(L53)),EXACT(K53,L53),K53=L53),IFERROR(ERROR.TYPE(K53)=ERROR.TYPE(L53),FALSE))</f>
        <v/>
      </c>
      <c r="N53" t="inlineStr"/>
    </row>
    <row r="54">
      <c r="I54" t="inlineStr">
        <is>
          <t>yf-4</t>
        </is>
      </c>
      <c r="J54" t="inlineStr">
        <is>
          <t>=YEARFRAC(DATE(2023,6,15),DATE(2025,2,28),1)</t>
        </is>
      </c>
      <c r="K54">
        <f t="array" ref="K54">YEARFRAC(DATE(2023,6,15),DATE(2025,2,28),1)</f>
        <v/>
      </c>
      <c r="L54" t="n">
        <v>1.708029197080292</v>
      </c>
      <c r="M54">
        <f>IFERROR(IF(AND(ISTEXT(K54),ISTEXT(L54)),EXACT(K54,L54),K54=L54),IFERROR(ERROR.TYPE(K54)=ERROR.TYPE(L54),FALSE))</f>
        <v/>
      </c>
      <c r="N54" t="inlineStr"/>
    </row>
    <row r="55">
      <c r="I55" t="inlineStr">
        <is>
          <t>yf-5</t>
        </is>
      </c>
      <c r="J55" t="inlineStr">
        <is>
          <t>=YEARFRAC(DATE(2024,2,29),DATE(2025,2,28),0)</t>
        </is>
      </c>
      <c r="K55">
        <f t="array" ref="K55">YEARFRAC(DATE(2024,2,29),DATE(2025,2,28),0)</f>
        <v/>
      </c>
      <c r="L55" t="n">
        <v>0.9972222222222222</v>
      </c>
      <c r="M55">
        <f>IFERROR(IF(AND(ISTEXT(K55),ISTEXT(L55)),EXACT(K55,L55),K55=L55),IFERROR(ERROR.TYPE(K55)=ERROR.TYPE(L55),FALSE))</f>
        <v/>
      </c>
      <c r="N55" t="inlineStr"/>
    </row>
    <row r="56">
      <c r="I56" t="inlineStr">
        <is>
          <t>yf-6</t>
        </is>
      </c>
      <c r="J56" t="inlineStr">
        <is>
          <t>=YEARFRAC(DATE(2024,2,29),DATE(2025,2,28),1)</t>
        </is>
      </c>
      <c r="K56">
        <f t="array" ref="K56">YEARFRAC(DATE(2024,2,29),DATE(2025,2,28),1)</f>
        <v/>
      </c>
      <c r="L56" t="n">
        <v>0.9986320109439124</v>
      </c>
      <c r="M56">
        <f>IFERROR(IF(AND(ISTEXT(K56),ISTEXT(L56)),EXACT(K56,L56),K56=L56),IFERROR(ERROR.TYPE(K56)=ERROR.TYPE(L56),FALSE))</f>
        <v/>
      </c>
      <c r="N56" t="inlineStr"/>
    </row>
    <row r="57">
      <c r="I57" t="inlineStr">
        <is>
          <t>yf-7</t>
        </is>
      </c>
      <c r="J57" t="inlineStr">
        <is>
          <t>=YEARFRAC(DATE(2023,2,28),DATE(2024,2,29),0)</t>
        </is>
      </c>
      <c r="K57">
        <f t="array" ref="K57">YEARFRAC(DATE(2023,2,28),DATE(2024,2,29),0)</f>
        <v/>
      </c>
      <c r="L57">
        <f>1.0027777777777778</f>
        <v/>
      </c>
      <c r="M57">
        <f>IFERROR(IF(AND(ISTEXT(K57),ISTEXT(L57)),EXACT(K57,L57),K57=L57),IFERROR(ERROR.TYPE(K57)=ERROR.TYPE(L57),FALSE))</f>
        <v/>
      </c>
      <c r="N57" t="inlineStr"/>
    </row>
    <row r="58">
      <c r="I58" t="inlineStr">
        <is>
          <t>yf-8</t>
        </is>
      </c>
      <c r="J58" t="inlineStr">
        <is>
          <t>=YEARFRAC(DATE(2023,2,28),DATE(2024,2,29),1)</t>
        </is>
      </c>
      <c r="K58">
        <f t="array" ref="K58">YEARFRAC(DATE(2023,2,28),DATE(2024,2,29),1)</f>
        <v/>
      </c>
      <c r="L58">
        <f>1.0013679890560876</f>
        <v/>
      </c>
      <c r="M58">
        <f>IFERROR(IF(AND(ISTEXT(K58),ISTEXT(L58)),EXACT(K58,L58),K58=L58),IFERROR(ERROR.TYPE(K58)=ERROR.TYPE(L58),FALSE))</f>
        <v/>
      </c>
      <c r="N58" t="inlineStr"/>
    </row>
    <row r="59">
      <c r="I59" t="inlineStr">
        <is>
          <t>yf-9</t>
        </is>
      </c>
      <c r="J59" t="inlineStr">
        <is>
          <t>=YEARFRAC(DATE(2024,1,1),DATE(2024,1,31),1)</t>
        </is>
      </c>
      <c r="K59">
        <f t="array" ref="K59">YEARFRAC(DATE(2024,1,1),DATE(2024,1,31),1)</f>
        <v/>
      </c>
      <c r="L59" t="n">
        <v>0.08196721311475409</v>
      </c>
      <c r="M59">
        <f>IFERROR(IF(AND(ISTEXT(K59),ISTEXT(L59)),EXACT(K59,L59),K59=L59),IFERROR(ERROR.TYPE(K59)=ERROR.TYPE(L59),FALSE))</f>
        <v/>
      </c>
      <c r="N59" t="inlineStr">
        <is>
          <t>leap year, no Feb 29 in span</t>
        </is>
      </c>
    </row>
    <row r="60">
      <c r="I60" t="inlineStr">
        <is>
          <t>yf-10</t>
        </is>
      </c>
      <c r="J60" t="inlineStr">
        <is>
          <t>=YEARFRAC(DATE(2023,3,1),DATE(2024,2,28),1)</t>
        </is>
      </c>
      <c r="K60">
        <f t="array" ref="K60">YEARFRAC(DATE(2023,3,1),DATE(2024,2,28),1)</f>
        <v/>
      </c>
      <c r="L60" t="n">
        <v>0.9958960328317373</v>
      </c>
      <c r="M60">
        <f>IFERROR(IF(AND(ISTEXT(K60),ISTEXT(L60)),EXACT(K60,L60),K60=L60),IFERROR(ERROR.TYPE(K60)=ERROR.TYPE(L60),FALSE))</f>
        <v/>
      </c>
      <c r="N60" t="inlineStr">
        <is>
          <t>ends in a leap year before Feb 29</t>
        </is>
      </c>
    </row>
    <row r="61">
      <c r="I61" t="inlineStr">
        <is>
          <t>yf-11</t>
        </is>
      </c>
      <c r="J61" t="inlineStr">
        <is>
          <t>=YEARFRAC(DATE(2023,3,1),DATE(2024,2,29),1)</t>
        </is>
      </c>
      <c r="K61">
        <f t="array" ref="K61">YEARFRAC(DATE(2023,3,1),DATE(2024,2,29),1)</f>
        <v/>
      </c>
      <c r="L61" t="n">
        <v>0.9986320109439124</v>
      </c>
      <c r="M61">
        <f>IFERROR(IF(AND(ISTEXT(K61),ISTEXT(L61)),EXACT(K61,L61),K61=L61),IFERROR(ERROR.TYPE(K61)=ERROR.TYPE(L61),FALSE))</f>
        <v/>
      </c>
      <c r="N61" t="inlineStr">
        <is>
          <t>ends on Feb 29</t>
        </is>
      </c>
    </row>
    <row r="62">
      <c r="I62" t="inlineStr">
        <is>
          <t>yf-12</t>
        </is>
      </c>
      <c r="J62" t="inlineStr">
        <is>
          <t>=YEARFRAC(DATE(2024,3,1),DATE(2025,2,28),1)</t>
        </is>
      </c>
      <c r="K62">
        <f t="array" ref="K62">YEARFRAC(DATE(2024,3,1),DATE(2025,2,28),1)</f>
        <v/>
      </c>
      <c r="L62" t="n">
        <v>0.9958960328317373</v>
      </c>
      <c r="M62">
        <f>IFERROR(IF(AND(ISTEXT(K62),ISTEXT(L62)),EXACT(K62,L62),K62=L62),IFERROR(ERROR.TYPE(K62)=ERROR.TYPE(L62),FALSE))</f>
        <v/>
      </c>
      <c r="N62" t="inlineStr">
        <is>
          <t>starts in a leap year after Feb 29</t>
        </is>
      </c>
    </row>
    <row r="63">
      <c r="I63" t="inlineStr">
        <is>
          <t>yf-13</t>
        </is>
      </c>
      <c r="J63" t="inlineStr">
        <is>
          <t>=YEARFRAC(DATE(2023,1,1),DATE(2023,12,31),1)</t>
        </is>
      </c>
      <c r="K63">
        <f t="array" ref="K63">YEARFRAC(DATE(2023,1,1),DATE(2023,12,31),1)</f>
        <v/>
      </c>
      <c r="L63" t="n">
        <v>0.9972602739726028</v>
      </c>
      <c r="M63">
        <f>IFERROR(IF(AND(ISTEXT(K63),ISTEXT(L63)),EXACT(K63,L63),K63=L63),IFERROR(ERROR.TYPE(K63)=ERROR.TYPE(L63),FALSE))</f>
        <v/>
      </c>
      <c r="N63" t="inlineStr">
        <is>
          <t>no leap year</t>
        </is>
      </c>
    </row>
    <row r="64">
      <c r="I64" t="inlineStr">
        <is>
          <t>yf-14</t>
        </is>
      </c>
      <c r="J64" t="inlineStr">
        <is>
          <t>=YEARFRAC(DATE(2024,1,1),DATE(2025,1,1),1)</t>
        </is>
      </c>
      <c r="K64">
        <f t="array" ref="K64">YEARFRAC(DATE(2024,1,1),DATE(2025,1,1),1)</f>
        <v/>
      </c>
      <c r="L64">
        <f>1.0013679890560876</f>
        <v/>
      </c>
      <c r="M64">
        <f>IFERROR(IF(AND(ISTEXT(K64),ISTEXT(L64)),EXACT(K64,L64),K64=L64),IFERROR(ERROR.TYPE(K64)=ERROR.TYPE(L64),FALSE))</f>
        <v/>
      </c>
      <c r="N64" t="inlineStr">
        <is>
          <t>exactly one leap year</t>
        </is>
      </c>
    </row>
    <row r="65">
      <c r="I65" t="inlineStr">
        <is>
          <t>yf-15</t>
        </is>
      </c>
      <c r="J65" t="inlineStr">
        <is>
          <t>=YEARFRAC(DATE(2023,1,1),DATE(2024,1,2),1)</t>
        </is>
      </c>
      <c r="K65">
        <f t="array" ref="K65">YEARFRAC(DATE(2023,1,1),DATE(2024,1,2),1)</f>
        <v/>
      </c>
      <c r="L65">
        <f>1.0013679890560876</f>
        <v/>
      </c>
      <c r="M65">
        <f>IFERROR(IF(AND(ISTEXT(K65),ISTEXT(L65)),EXACT(K65,L65),K65=L65),IFERROR(ERROR.TYPE(K65)=ERROR.TYPE(L65),FALSE))</f>
        <v/>
      </c>
      <c r="N65" t="inlineStr">
        <is>
          <t>just over a year: averaged</t>
        </is>
      </c>
    </row>
    <row r="66">
      <c r="I66" t="inlineStr">
        <is>
          <t>yf-16</t>
        </is>
      </c>
      <c r="J66" t="inlineStr">
        <is>
          <t>=YEARFRAC(DATE(2024,1,31),DATE(2024,3,31),0)</t>
        </is>
      </c>
      <c r="K66">
        <f t="array" ref="K66">YEARFRAC(DATE(2024,1,31),DATE(2024,3,31),0)</f>
        <v/>
      </c>
      <c r="L66">
        <f>0.16666666666666666</f>
        <v/>
      </c>
      <c r="M66">
        <f>IFERROR(IF(AND(ISTEXT(K66),ISTEXT(L66)),EXACT(K66,L66),K66=L66),IFERROR(ERROR.TYPE(K66)=ERROR.TYPE(L66),FALSE))</f>
        <v/>
      </c>
      <c r="N66" t="inlineStr">
        <is>
          <t>both on the 31st</t>
        </is>
      </c>
    </row>
    <row r="67">
      <c r="I67" t="inlineStr">
        <is>
          <t>yf-17</t>
        </is>
      </c>
      <c r="J67" t="inlineStr">
        <is>
          <t>=YEARFRAC(DATE(2024,2,28),DATE(2024,3,31),0)</t>
        </is>
      </c>
      <c r="K67">
        <f t="array" ref="K67">YEARFRAC(DATE(2024,2,28),DATE(2024,3,31),0)</f>
        <v/>
      </c>
      <c r="L67" t="n">
        <v>0.09166666666666666</v>
      </c>
      <c r="M67">
        <f>IFERROR(IF(AND(ISTEXT(K67),ISTEXT(L67)),EXACT(K67,L67),K67=L67),IFERROR(ERROR.TYPE(K67)=ERROR.TYPE(L67),FALSE))</f>
        <v/>
      </c>
      <c r="N67" t="inlineStr">
        <is>
          <t>leap-year Feb 28: not month end</t>
        </is>
      </c>
    </row>
    <row r="68">
      <c r="I68" t="inlineStr">
        <is>
          <t>yf-18</t>
        </is>
      </c>
      <c r="J68" t="inlineStr">
        <is>
          <t>=YEARFRAC(DATE(2023,2,28),DATE(2023,3,31),0)</t>
        </is>
      </c>
      <c r="K68">
        <f t="array" ref="K68">YEARFRAC(DATE(2023,2,28),DATE(2023,3,31),0)</f>
        <v/>
      </c>
      <c r="L68" t="n">
        <v>0.09166666666666666</v>
      </c>
      <c r="M68">
        <f>IFERROR(IF(AND(ISTEXT(K68),ISTEXT(L68)),EXACT(K68,L68),K68=L68),IFERROR(ERROR.TYPE(K68)=ERROR.TYPE(L68),FALSE))</f>
        <v/>
      </c>
      <c r="N68" t="inlineStr">
        <is>
          <t>starts on the last day of Feb</t>
        </is>
      </c>
    </row>
    <row r="69">
      <c r="I69" t="inlineStr">
        <is>
          <t>yf-19</t>
        </is>
      </c>
      <c r="J69" t="inlineStr">
        <is>
          <t>=YEARFRAC(DATE(2024,2,29),DATE(2024,3,30),0)</t>
        </is>
      </c>
      <c r="K69">
        <f t="array" ref="K69">YEARFRAC(DATE(2024,2,29),DATE(2024,3,30),0)</f>
        <v/>
      </c>
      <c r="L69" t="n">
        <v>0.08611111111111111</v>
      </c>
      <c r="M69">
        <f>IFERROR(IF(AND(ISTEXT(K69),ISTEXT(L69)),EXACT(K69,L69),K69=L69),IFERROR(ERROR.TYPE(K69)=ERROR.TYPE(L69),FALSE))</f>
        <v/>
      </c>
      <c r="N69" t="inlineStr"/>
    </row>
    <row r="70">
      <c r="I70" t="inlineStr">
        <is>
          <t>yf-20</t>
        </is>
      </c>
      <c r="J70" t="inlineStr">
        <is>
          <t>=YEARFRAC(DATE(2023,1,30),DATE(2023,2,28),0)</t>
        </is>
      </c>
      <c r="K70">
        <f t="array" ref="K70">YEARFRAC(DATE(2023,1,30),DATE(2023,2,28),0)</f>
        <v/>
      </c>
      <c r="L70" t="n">
        <v>0.07777777777777778</v>
      </c>
      <c r="M70">
        <f>IFERROR(IF(AND(ISTEXT(K70),ISTEXT(L70)),EXACT(K70,L70),K70=L70),IFERROR(ERROR.TYPE(K70)=ERROR.TYPE(L70),FALSE))</f>
        <v/>
      </c>
      <c r="N70" t="inlineStr">
        <is>
          <t>ends on the last day of Feb</t>
        </is>
      </c>
    </row>
    <row r="71">
      <c r="I71" t="inlineStr">
        <is>
          <t>misc-1</t>
        </is>
      </c>
      <c r="J71" t="inlineStr">
        <is>
          <t>=MOD(3,0.1)</t>
        </is>
      </c>
      <c r="K71">
        <f t="array" ref="K71">MOD(3,0.1)</f>
        <v/>
      </c>
      <c r="L71" t="n">
        <v>0.09999999999999984</v>
      </c>
      <c r="M71">
        <f>IFERROR(IF(AND(ISTEXT(K71),ISTEXT(L71)),EXACT(K71,L71),K71=L71),IFERROR(ERROR.TYPE(K71)=ERROR.TYPE(L71),FALSE))</f>
        <v/>
      </c>
      <c r="N71" t="inlineStr">
        <is>
          <t>float residue</t>
        </is>
      </c>
    </row>
    <row r="72">
      <c r="I72" t="inlineStr">
        <is>
          <t>misc-2</t>
        </is>
      </c>
      <c r="J72" t="inlineStr">
        <is>
          <t>=IMSQRT("-4")</t>
        </is>
      </c>
      <c r="K72">
        <f t="array" ref="K72">IMSQRT("-4")</f>
        <v/>
      </c>
      <c r="L72" t="inlineStr">
        <is>
          <t>2i</t>
        </is>
      </c>
      <c r="M72">
        <f>IFERROR(IF(AND(ISTEXT(K72),ISTEXT(L72)),EXACT(K72,L72),K72=L72),IFERROR(ERROR.TYPE(K72)=ERROR.TYPE(L72),FALSE))</f>
        <v/>
      </c>
      <c r="N72" t="inlineStr"/>
    </row>
    <row r="73">
      <c r="I73" t="inlineStr">
        <is>
          <t>misc-3</t>
        </is>
      </c>
      <c r="J73" t="inlineStr">
        <is>
          <t>=OR("a",TRUE)</t>
        </is>
      </c>
      <c r="K73">
        <f t="array" ref="K73">OR("a",TRUE)</f>
        <v/>
      </c>
      <c r="L73" t="e">
        <v>#VALUE!</v>
      </c>
      <c r="M73">
        <f>IFERROR(IF(AND(ISTEXT(K73),ISTEXT(L73)),EXACT(K73,L73),K73=L73),IFERROR(ERROR.TYPE(K73)=ERROR.TYPE(L73),FALSE))</f>
        <v/>
      </c>
      <c r="N73" t="inlineStr">
        <is>
          <t>text literal in OR</t>
        </is>
      </c>
    </row>
    <row r="74">
      <c r="I74" t="inlineStr">
        <is>
          <t>misc-4</t>
        </is>
      </c>
      <c r="J74" t="inlineStr">
        <is>
          <t>=XOR(TRUE,"a")</t>
        </is>
      </c>
      <c r="K74">
        <f t="array" ref="K74">_xlfn.XOR(TRUE,"a")</f>
        <v/>
      </c>
      <c r="L74" t="e">
        <v>#VALUE!</v>
      </c>
      <c r="M74">
        <f>IFERROR(IF(AND(ISTEXT(K74),ISTEXT(L74)),EXACT(K74,L74),K74=L74),IFERROR(ERROR.TYPE(K74)=ERROR.TYPE(L74),FALSE))</f>
        <v/>
      </c>
      <c r="N74" t="inlineStr"/>
    </row>
    <row r="75">
      <c r="I75" t="inlineStr">
        <is>
          <t>misc-5</t>
        </is>
      </c>
      <c r="J75" t="inlineStr">
        <is>
          <t>=MATCH(3,{5,1,4,2},1)</t>
        </is>
      </c>
      <c r="K75">
        <f t="array" ref="K75">MATCH(3,{5,1,4,2},1)</f>
        <v/>
      </c>
      <c r="L75" t="e">
        <v>#N/A</v>
      </c>
      <c r="M75">
        <f>IFERROR(IF(AND(ISTEXT(K75),ISTEXT(L75)),EXACT(K75,L75),K75=L75),IFERROR(ERROR.TYPE(K75)=ERROR.TYPE(L75),FALSE))</f>
        <v/>
      </c>
      <c r="N75" t="inlineStr">
        <is>
          <t>approximate match over unsorted data</t>
        </is>
      </c>
    </row>
    <row r="76">
      <c r="I76" t="inlineStr">
        <is>
          <t>misc-6</t>
        </is>
      </c>
      <c r="J76" t="inlineStr">
        <is>
          <t>=TEXT(3,1)</t>
        </is>
      </c>
      <c r="K76">
        <f t="array" ref="K76">TEXT(3,1)</f>
        <v/>
      </c>
      <c r="L76" t="inlineStr">
        <is>
          <t>3</t>
        </is>
      </c>
      <c r="M76">
        <f>IFERROR(IF(AND(ISTEXT(K76),ISTEXT(L76)),EXACT(K76,L76),K76=L76),IFERROR(ERROR.TYPE(K76)=ERROR.TYPE(L76),FALSE))</f>
        <v/>
      </c>
      <c r="N76" t="inlineStr"/>
    </row>
    <row r="77">
      <c r="I77" t="inlineStr">
        <is>
          <t>misc-7</t>
        </is>
      </c>
      <c r="J77" t="inlineStr">
        <is>
          <t>=OR("a",TRUE)</t>
        </is>
      </c>
      <c r="K77">
        <f>OR("a",TRUE)</f>
        <v/>
      </c>
      <c r="L77" t="e">
        <v>#VALUE!</v>
      </c>
      <c r="M77">
        <f>IFERROR(IF(AND(ISTEXT(K77),ISTEXT(L77)),EXACT(K77,L77),K77=L77),IFERROR(ERROR.TYPE(K77)=ERROR.TYPE(L77),FALSE))</f>
        <v/>
      </c>
      <c r="N77" t="inlineStr">
        <is>
          <t>misc-3 as a plain formula</t>
        </is>
      </c>
    </row>
    <row r="78">
      <c r="I78" t="inlineStr">
        <is>
          <t>misc-8</t>
        </is>
      </c>
      <c r="J78" t="inlineStr">
        <is>
          <t>=XOR(TRUE,"a")</t>
        </is>
      </c>
      <c r="K78">
        <f>_xlfn.XOR(TRUE,"a")</f>
        <v/>
      </c>
      <c r="L78" t="e">
        <v>#VALUE!</v>
      </c>
      <c r="M78">
        <f>IFERROR(IF(AND(ISTEXT(K78),ISTEXT(L78)),EXACT(K78,L78),K78=L78),IFERROR(ERROR.TYPE(K78)=ERROR.TYPE(L78),FALSE))</f>
        <v/>
      </c>
      <c r="N78" t="inlineStr">
        <is>
          <t>misc-4 as a plain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2026-10-09T05:20:02Z</dcterms:created>
  <dcterms:modified xsi:type="dcterms:W3CDTF">2026-10-09T05:20:02Z</dcterms:modified>
</cp:coreProperties>
</file>