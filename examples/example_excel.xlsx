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roldal/Development/bin2c/"/>
    </mc:Choice>
  </mc:AlternateContent>
  <xr:revisionPtr revIDLastSave="0" documentId="8_{AC33A6FB-1603-2641-A40F-B7C7F2B0E698}" xr6:coauthVersionLast="44" xr6:coauthVersionMax="44" xr10:uidLastSave="{00000000-0000-0000-0000-000000000000}"/>
  <bookViews>
    <workbookView xWindow="2780" yWindow="1560" windowWidth="28040" windowHeight="17440" xr2:uid="{FF49B81A-127A-B44C-A44B-FF0F3EF8FCF9}"/>
  </bookViews>
  <sheets>
    <sheet name="Sheet1" sheetId="1" r:id="rId1"/>
  </sheets>
  <definedNames>
    <definedName name="sales" localSheetId="0">'Sheet1'!$B$2:$B$5</definedName>
    <definedName name="targets" localSheetId="0">'Sheet1'!$C$2:$C$5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<sst xmlns="http://schemas.openxmlformats.org/spreadsheetml/2006/main">
  <si>
    <t/>
  </si>
  <si>
    <t>Quarter</t>
  </si>
  <si>
    <t>Sales</t>
  </si>
  <si>
    <t>Target</t>
  </si>
  <si>
    <t>Met (1/0)</t>
  </si>
  <si>
    <t>Commission</t>
  </si>
  <si>
    <t>% of target</t>
  </si>
  <si>
    <t>Q1</t>
  </si>
  <si>
    <t>Q2</t>
  </si>
  <si>
    <t>Q3</t>
  </si>
  <si>
    <t>Q4</t>
  </si>
  <si>
    <t>Totals</t>
  </si>
  <si>
    <t>Average</t>
  </si>
  <si>
    <t>Best</t>
  </si>
  <si>
    <t>row #</t>
  </si>
  <si>
    <t>Worst</t>
  </si>
  <si>
    <t>Met count</t>
  </si>
  <si>
    <t>Error handling</t>
  </si>
  <si>
    <t>1/0 (raw):</t>
  </si>
  <si>
    <t>Math safe:</t>
  </si>
  <si>
    <t>Range arithmetic</t>
  </si>
  <si>
    <t>Sales - Targets</t>
  </si>
  <si>
    <t>Discounted (95%)</t>
  </si>
  <si>
    <t>Total uplift: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</si>
</sst>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"/>
    <numFmt numFmtId="165" formatCode="0.00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  <b val="true"/>
      <i val="false"/>
      <u val="non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NumberFormat="false" applyFont="true" applyFill="false" applyBorder="false" applyAlignment="false" applyProtection="false" quotePrefix="false" pivotButton="false">
      <protection locked="false" hidden="false"/>
    </xf>
    <xf numFmtId="164" fontId="0" fillId="0" borderId="0" xfId="0" applyNumberFormat="true" applyFont="false" applyFill="false" applyBorder="false" applyAlignment="false" applyProtection="false" quotePrefix="false" pivotButton="false">
      <protection locked="false" hidden="false"/>
    </xf>
    <xf numFmtId="165" fontId="0" fillId="0" borderId="0" xfId="0" applyNumberFormat="true" applyFont="false" applyFill="false" applyBorder="false" applyAlignment="false" applyProtection="false" quotePrefix="false" pivotButton="false">
      <protection locked="false" hidden="false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FB1B4-2A61-4643-8816-8B76EC36FD4B}">
  <dimension ref="A1"/>
  <sheetViews>
    <sheetView tabSelected="1" workbookViewId="0"/>
  </sheetViews>
  <sheetFormatPr defaultColWidth="12" baseColWidth="10" defaultRowHeight="16" x14ac:dyDescent="0.2"/>
  <sheetData>
    <row r="1">
      <c r="A1" t="s" s="1">
        <v>1</v>
      </c>
      <c r="B1" t="s" s="1">
        <v>2</v>
      </c>
      <c r="C1" t="s" s="1">
        <v>3</v>
      </c>
      <c r="D1" t="s" s="1">
        <v>4</v>
      </c>
      <c r="E1" t="s" s="1">
        <v>5</v>
      </c>
      <c r="F1" t="s" s="1">
        <v>6</v>
      </c>
    </row>
    <row r="2">
      <c r="A2" t="s">
        <v>7</v>
      </c>
      <c r="B2" s="2">
        <v>12500</v>
      </c>
      <c r="C2" s="2">
        <v>10000</v>
      </c>
      <c r="D2">
        <f>IF(B2&gt;=C2, 1, 0)</f>
        <v>1</v>
      </c>
      <c r="E2">
        <f>IF(B2&gt;=C2, B2*0.05, 0)</f>
        <v>625</v>
      </c>
      <c r="F2" s="3">
        <f>B2/C2</f>
        <v>1.25</v>
      </c>
    </row>
    <row r="3">
      <c r="A3" t="s">
        <v>8</v>
      </c>
      <c r="B3" s="2">
        <v>8300</v>
      </c>
      <c r="C3" s="2">
        <v>11000</v>
      </c>
      <c r="D3">
        <f>IF(B3&gt;=C3, 1, 0)</f>
        <v>0</v>
      </c>
      <c r="E3">
        <f>IF(B3&gt;=C3, B3*0.05, 0)</f>
        <v>0</v>
      </c>
      <c r="F3" s="3">
        <f>B3/C3</f>
        <v>0.75454545454545452</v>
      </c>
    </row>
    <row r="4">
      <c r="A4" t="s">
        <v>9</v>
      </c>
      <c r="B4" s="2">
        <v>15700</v>
      </c>
      <c r="C4" s="2">
        <v>12000</v>
      </c>
      <c r="D4">
        <f>IF(B4&gt;=C4, 1, 0)</f>
        <v>1</v>
      </c>
      <c r="E4">
        <f>IF(B4&gt;=C4, B4*0.05, 0)</f>
        <v>785</v>
      </c>
      <c r="F4" s="3">
        <f>B4/C4</f>
        <v>1.3083333333333333</v>
      </c>
    </row>
    <row r="5">
      <c r="A5" t="s">
        <v>10</v>
      </c>
      <c r="B5" s="2">
        <v>9200</v>
      </c>
      <c r="C5" s="2">
        <v>13000</v>
      </c>
      <c r="D5">
        <f>IF(B5&gt;=C5, 1, 0)</f>
        <v>0</v>
      </c>
      <c r="E5">
        <f>IF(B5&gt;=C5, B5*0.05, 0)</f>
        <v>0</v>
      </c>
      <c r="F5" s="3">
        <f>B5/C5</f>
        <v>0.70769230769230773</v>
      </c>
    </row>
    <row r="7">
      <c r="A7" t="s" s="1">
        <v>11</v>
      </c>
      <c r="B7" s="2">
        <f>SUM(sales)</f>
        <v>45700</v>
      </c>
      <c r="C7" s="2">
        <f>SUM(targets)</f>
        <v>46000</v>
      </c>
      <c r="E7" s="2">
        <f>SUM(E2:E5)</f>
        <v>1410</v>
      </c>
      <c r="F7" s="3">
        <f>SUM(sales)/SUM(targets)</f>
        <v>0.99347826086956526</v>
      </c>
    </row>
    <row r="8">
      <c r="A8" t="s" s="1">
        <v>12</v>
      </c>
      <c r="B8" s="2">
        <f>AVERAGE(sales)</f>
        <v>11425</v>
      </c>
      <c r="C8" s="2">
        <f>AVERAGE(targets)</f>
        <v>11500</v>
      </c>
      <c r="E8">
        <f>AVERAGE(E2:E5)</f>
        <v>352.5</v>
      </c>
    </row>
    <row r="9">
      <c r="A9" t="s" s="1">
        <v>13</v>
      </c>
      <c r="B9" s="2">
        <f>MAX(sales)</f>
        <v>15700</v>
      </c>
      <c r="D9" t="s" s="1">
        <v>14</v>
      </c>
      <c r="E9">
        <f>MATCH(MAX(sales), sales, 0)</f>
        <v>3</v>
      </c>
    </row>
    <row r="10">
      <c r="A10" t="s" s="1">
        <v>15</v>
      </c>
      <c r="B10" s="2">
        <f>MIN(sales)</f>
        <v>8300</v>
      </c>
      <c r="D10" t="s" s="1">
        <v>14</v>
      </c>
      <c r="E10">
        <f>MATCH(MIN(sales), sales, 0)</f>
        <v>2</v>
      </c>
    </row>
    <row r="11">
      <c r="A11" t="s" s="1">
        <v>16</v>
      </c>
      <c r="B11">
        <f>SUM(D2:D5)</f>
        <v>2</v>
      </c>
    </row>
    <row r="13">
      <c r="A13" t="s" s="1">
        <v>17</v>
      </c>
    </row>
    <row r="14">
      <c r="A14" t="s">
        <v>18</v>
      </c>
      <c r="B14">
        <f>IFERROR(1/0, -1)</f>
        <v>-1</v>
      </c>
      <c r="D14" t="s">
        <v>19</v>
      </c>
      <c r="E14">
        <f>IFERROR(SQRT(-1), 0)</f>
        <v>0</v>
      </c>
    </row>
    <row r="16">
      <c r="A16" t="s" s="1">
        <v>20</v>
      </c>
    </row>
    <row r="17">
      <c r="B17" t="s" s="1">
        <v>21</v>
      </c>
      <c r="D17" t="s" s="1">
        <v>22</v>
      </c>
    </row>
    <row r="18">
      <c r="B18" s="2">
        <f>sales - targets</f>
        <v>2500</v>
      </c>
      <c r="D18" s="2">
        <f>sales * 0.95</f>
        <v>11875</v>
      </c>
    </row>
    <row r="23">
      <c r="A23" t="s">
        <v>23</v>
      </c>
      <c r="B23" s="2">
        <f>SUM(sales * 1.1) - SUM(sales)</f>
        <v>4570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Balslev</dc:creator>
  <cp:lastModifiedBy>Kenneth Balslev</cp:lastModifiedBy>
  <dcterms:created xsi:type="dcterms:W3CDTF">2019-08-16T00:34:14Z</dcterms:created>
  <dcterms:modified xsi:type="dcterms:W3CDTF">2019-08-16T00:34:26Z</dcterms:modified>
</cp:coreProperties>
</file>