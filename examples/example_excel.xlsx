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definedNames>
    <definedName name="sales" localSheetId="0">'Sheet1'!$B$2:$B$5</definedName>
    <definedName name="targets" localSheetId="0">'Sheet1'!$C$2:$C$5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<sst xmlns="http://schemas.openxmlformats.org/spreadsheetml/2006/main">
  <si>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/>
  </si>
  <si>
    <t>Quarter</t>
  </si>
  <si>
    <t>Sales</t>
  </si>
  <si>
    <t>Target</t>
  </si>
  <si>
    <t>Met (1/0)</t>
  </si>
  <si>
    <t>Commission</t>
  </si>
  <si>
    <t>% of target</t>
  </si>
  <si>
    <t>Q1</t>
  </si>
  <si>
    <t>Q2</t>
  </si>
  <si>
    <t>Q3</t>
  </si>
  <si>
    <t>Q4</t>
  </si>
  <si>
    <t>Totals</t>
  </si>
  <si>
    <t>Average</t>
  </si>
  <si>
    <t>Best</t>
  </si>
  <si>
    <t>row #</t>
  </si>
  <si>
    <t>Worst</t>
  </si>
  <si>
    <t>Met count</t>
  </si>
  <si>
    <t>Error handling</t>
  </si>
  <si>
    <t>1/0 (raw):</t>
  </si>
  <si>
    <t>Math safe:</t>
  </si>
  <si>
    <t>Range arithmetic</t>
  </si>
  <si>
    <t>Sales - Targets</t>
  </si>
  <si>
    <t>Discounted (95%)</t>
  </si>
  <si>
    <t>Total uplift: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</si>
</sst>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"/>
    <numFmt numFmtId="165" formatCode="0.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  <b val="true"/>
      <i val="false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164" fontId="0" fillId="0" borderId="0" xfId="0" applyNumberFormat="true" applyFont="false" applyFill="false" applyBorder="false" applyAlignment="false" applyProtection="false" quotePrefix="false" pivotButton="false">
      <protection locked="false" hidden="false"/>
    </xf>
    <xf numFmtId="165" fontId="0" fillId="0" borderId="0" xfId="0" applyNumberFormat="true" applyFont="false" applyFill="fals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2" baseColWidth="10" defaultRowHeight="16" x14ac:dyDescent="0.2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>
      <c r="A2" t="s">
        <v>7</v>
      </c>
      <c r="B2" s="2">
        <v>12500</v>
      </c>
      <c r="C2" s="2">
        <v>10000</v>
      </c>
      <c r="D2">
        <f>IF(B2&gt;=C2, 1, 0)</f>
        <v>1</v>
      </c>
      <c r="E2">
        <f>IF(B2&gt;=C2, B2*0.05, 0)</f>
        <v>625</v>
      </c>
      <c r="F2" s="3">
        <f>B2/C2</f>
        <v>1.25</v>
      </c>
    </row>
    <row r="3">
      <c r="A3" t="s">
        <v>8</v>
      </c>
      <c r="B3" s="2">
        <v>8300</v>
      </c>
      <c r="C3" s="2">
        <v>11000</v>
      </c>
      <c r="D3">
        <f>IF(B3&gt;=C3, 1, 0)</f>
        <v>0</v>
      </c>
      <c r="E3">
        <f>IF(B3&gt;=C3, B3*0.05, 0)</f>
        <v>0</v>
      </c>
      <c r="F3" s="3">
        <f>B3/C3</f>
        <v>0.75454545454545452</v>
      </c>
    </row>
    <row r="4">
      <c r="A4" t="s">
        <v>9</v>
      </c>
      <c r="B4" s="2">
        <v>15700</v>
      </c>
      <c r="C4" s="2">
        <v>12000</v>
      </c>
      <c r="D4">
        <f>IF(B4&gt;=C4, 1, 0)</f>
        <v>1</v>
      </c>
      <c r="E4">
        <f>IF(B4&gt;=C4, B4*0.05, 0)</f>
        <v>785</v>
      </c>
      <c r="F4" s="3">
        <f>B4/C4</f>
        <v>1.3083333333333333</v>
      </c>
    </row>
    <row r="5">
      <c r="A5" t="s">
        <v>10</v>
      </c>
      <c r="B5" s="2">
        <v>9200</v>
      </c>
      <c r="C5" s="2">
        <v>13000</v>
      </c>
      <c r="D5">
        <f>IF(B5&gt;=C5, 1, 0)</f>
        <v>0</v>
      </c>
      <c r="E5">
        <f>IF(B5&gt;=C5, B5*0.05, 0)</f>
        <v>0</v>
      </c>
      <c r="F5" s="3">
        <f>B5/C5</f>
        <v>0.70769230769230773</v>
      </c>
    </row>
    <row r="7">
      <c r="A7" t="s" s="1">
        <v>11</v>
      </c>
      <c r="B7" s="2">
        <f>SUM(sales)</f>
        <v>45700</v>
      </c>
      <c r="C7" s="2">
        <f>SUM(targets)</f>
        <v>46000</v>
      </c>
      <c r="E7" s="2">
        <f>SUM(E2:E5)</f>
        <v>1410</v>
      </c>
      <c r="F7" s="3">
        <f>SUM(sales)/SUM(targets)</f>
        <v>0.99347826086956526</v>
      </c>
    </row>
    <row r="8">
      <c r="A8" t="s" s="1">
        <v>12</v>
      </c>
      <c r="B8" s="2">
        <f>AVERAGE(sales)</f>
        <v>11425</v>
      </c>
      <c r="C8" s="2">
        <f>AVERAGE(targets)</f>
        <v>11500</v>
      </c>
      <c r="E8">
        <f>AVERAGE(E2:E5)</f>
        <v>352.5</v>
      </c>
    </row>
    <row r="9">
      <c r="A9" t="s" s="1">
        <v>13</v>
      </c>
      <c r="B9" s="2">
        <f>MAX(sales)</f>
        <v>15700</v>
      </c>
      <c r="D9" t="s" s="1">
        <v>14</v>
      </c>
      <c r="E9">
        <f>MATCH(MAX(sales), sales, 0)</f>
        <v>3</v>
      </c>
    </row>
    <row r="10">
      <c r="A10" t="s" s="1">
        <v>15</v>
      </c>
      <c r="B10" s="2">
        <f>MIN(sales)</f>
        <v>8300</v>
      </c>
      <c r="D10" t="s" s="1">
        <v>14</v>
      </c>
      <c r="E10">
        <f>MATCH(MIN(sales), sales, 0)</f>
        <v>2</v>
      </c>
    </row>
    <row r="11">
      <c r="A11" t="s" s="1">
        <v>16</v>
      </c>
      <c r="B11">
        <f>SUM(D2:D5)</f>
        <v>2</v>
      </c>
    </row>
    <row r="13">
      <c r="A13" t="s" s="1">
        <v>17</v>
      </c>
    </row>
    <row r="14">
      <c r="A14" t="s">
        <v>18</v>
      </c>
      <c r="B14">
        <f>IFERROR(1/0, -1)</f>
        <v>-1</v>
      </c>
      <c r="D14" t="s">
        <v>19</v>
      </c>
      <c r="E14">
        <f>IFERROR(SQRT(-1), 0)</f>
        <v>0</v>
      </c>
    </row>
    <row r="16">
      <c r="A16" t="s" s="1">
        <v>20</v>
      </c>
    </row>
    <row r="17">
      <c r="B17" t="s" s="1">
        <v>21</v>
      </c>
      <c r="D17" t="s" s="1">
        <v>22</v>
      </c>
    </row>
    <row r="18">
      <c r="B18" s="2" cm="1">
        <f t="array" ref="B18:B21">sales - targets</f>
        <v>2500</v>
      </c>
      <c r="D18" s="2" cm="1">
        <f t="array" ref="D18:D21">sales * 0.95</f>
        <v>11875</v>
      </c>
    </row>
    <row r="19">
      <c r="B19" s="2">
        <v>-2700</v>
      </c>
      <c r="D19" s="2">
        <v>7885</v>
      </c>
    </row>
    <row r="20">
      <c r="B20" s="2">
        <v>3700</v>
      </c>
      <c r="D20" s="2">
        <v>14915</v>
      </c>
    </row>
    <row r="21">
      <c r="B21" s="2">
        <v>-3800</v>
      </c>
      <c r="D21" s="2">
        <v>8740</v>
      </c>
    </row>
    <row r="23">
      <c r="A23" t="s">
        <v>23</v>
      </c>
      <c r="B23" s="2" cm="1">
        <f t="array" ref="B23">SUM(sales * 1.1) - SUM(sales)</f>
        <v>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